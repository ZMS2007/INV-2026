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zahid\Downloads\"/>
    </mc:Choice>
  </mc:AlternateContent>
  <xr:revisionPtr revIDLastSave="0" documentId="8_{4AF7488F-1478-4708-8475-961B0D57DF7C}" xr6:coauthVersionLast="47" xr6:coauthVersionMax="47" xr10:uidLastSave="{00000000-0000-0000-0000-000000000000}"/>
  <bookViews>
    <workbookView xWindow="-110" yWindow="-110" windowWidth="19420" windowHeight="10300" xr2:uid="{DDCD678F-667F-41E0-8CDC-67F0CAE96E5B}"/>
  </bookViews>
  <sheets>
    <sheet name="DASH" sheetId="1" r:id="rId1"/>
  </sheets>
  <definedNames>
    <definedName name="__bal05">#REF!</definedName>
    <definedName name="__bal06">#REF!</definedName>
    <definedName name="__bal062">#REF!</definedName>
    <definedName name="__mth7">#REF!</definedName>
    <definedName name="_20106000">#REF!</definedName>
    <definedName name="_bal05">#REF!</definedName>
    <definedName name="_bal06">#REF!</definedName>
    <definedName name="_bal062">#REF!</definedName>
    <definedName name="_country_list">OFFSET(#REF!,1,0,SUMPRODUCT(MAX((#REF!&lt;&gt;"")*(ROW(#REF!))))-16,1)</definedName>
    <definedName name="_countryList">OFFSET(#REF!,2,0,SUMPRODUCT(MAX((#REF!&lt;&gt;"")*(ROW(#REF!))))-17,1)</definedName>
    <definedName name="_currency_symbol">IF(ISBLANK(#REF!),"$",#REF!)</definedName>
    <definedName name="_day">{"Sunday","Monday","Tuesday","Wednesday","Thursday","Friday","Saturday"}</definedName>
    <definedName name="_day_time">IF(ISBLANK(#REF!),7,#REF!)</definedName>
    <definedName name="_holiday_country">#REF!</definedName>
    <definedName name="_holiday_dates">#REF!</definedName>
    <definedName name="_holiday_description">#REF!</definedName>
    <definedName name="_holiday_occurrence">INDEX(_holiday_country,MATCH(#REF!,_holiday_dates,0))</definedName>
    <definedName name="_month">MONTH(#REF!)</definedName>
    <definedName name="_mth7">#REF!</definedName>
    <definedName name="_settings_date">#REF!</definedName>
    <definedName name="_upcoming_events">#REF!</definedName>
    <definedName name="_week_day">INDEX({1,2,3,4,5,6,7},MATCH(#REF!,{"Sunday","Monday","Tuesday","Wednesday","Thursday","Friday","Saturday"},0))</definedName>
    <definedName name="_year">YEAR(#REF!)</definedName>
    <definedName name="a">#REF!</definedName>
    <definedName name="a4123.">#REF!</definedName>
    <definedName name="Actual">(PeriodInActual*(#REF!&gt;0))*PeriodInPlan</definedName>
    <definedName name="ActualBeyond">PeriodInActual*(#REF!&gt;0)</definedName>
    <definedName name="admiss">#REF!</definedName>
    <definedName name="ALLIANCE">#REF!</definedName>
    <definedName name="b">#REF!</definedName>
    <definedName name="bsa">#REF!</definedName>
    <definedName name="Calendar10Month">#REF!</definedName>
    <definedName name="Calendar10MonthOption">MATCH(Calendar10Month,[0]!Months,0)</definedName>
    <definedName name="Calendar10Year">#REF!</definedName>
    <definedName name="Calendar1Month">#REF!</definedName>
    <definedName name="Calendar1MonthOption">MATCH(Calendar1Month,[0]!Months,0)</definedName>
    <definedName name="Calendar1Year">#REF!</definedName>
    <definedName name="Calendar2Month">#REF!</definedName>
    <definedName name="Calendar2MonthOption">MATCH(Calendar2Month,[0]!Months,0)</definedName>
    <definedName name="Calendar2Year">#REF!</definedName>
    <definedName name="Calendar3Month">#REF!</definedName>
    <definedName name="Calendar3MonthOption">MATCH(Calendar3Month,[0]!Months,0)</definedName>
    <definedName name="Calendar3Year">#REF!</definedName>
    <definedName name="Calendar4Month">#REF!</definedName>
    <definedName name="Calendar4MonthOption">MATCH(Calendar4Month,[0]!Months,0)</definedName>
    <definedName name="Calendar4Year">#REF!</definedName>
    <definedName name="Calendar5Month">#REF!</definedName>
    <definedName name="Calendar5MonthOption">MATCH(Calendar5Month,[0]!Months,0)</definedName>
    <definedName name="Calendar5Year">#REF!</definedName>
    <definedName name="Calendar6Month">#REF!</definedName>
    <definedName name="Calendar6MonthOption">MATCH(Calendar6Month,[0]!Months,0)</definedName>
    <definedName name="Calendar6Year">#REF!</definedName>
    <definedName name="Calendar7Month">#REF!</definedName>
    <definedName name="Calendar7MonthOption">MATCH(Calendar7Month,[0]!Months,0)</definedName>
    <definedName name="Calendar7Year">#REF!</definedName>
    <definedName name="Calendar8Month">#REF!</definedName>
    <definedName name="Calendar8MonthOption">MATCH(Calendar8Month,[0]!Months,0)</definedName>
    <definedName name="Calendar8Year">#REF!</definedName>
    <definedName name="Calendar9Month">#REF!</definedName>
    <definedName name="Calendar9MonthOption">MATCH(Calendar9Month,[0]!Months,0)</definedName>
    <definedName name="Calendar9Year">#REF!</definedName>
    <definedName name="category">#REF!</definedName>
    <definedName name="CategoryDashboard_DP">#REF!</definedName>
    <definedName name="CC">#REF!</definedName>
    <definedName name="CCEN">#REF!</definedName>
    <definedName name="CCEN2">#REF!</definedName>
    <definedName name="CEN">#REF!</definedName>
    <definedName name="chart_balance">OFFSET(#REF!,2,0,#REF!,1)</definedName>
    <definedName name="chart_balance_noextra">OFFSET(#REF!,2,0,#REF!,1)</definedName>
    <definedName name="chart_date">OFFSET(#REF!,2,0,#REF!,1)</definedName>
    <definedName name="chart_date_noextra">OFFSET(#REF!,2,0,#REF!,1)</definedName>
    <definedName name="chart_nper">ROW(OFFSET(#REF!,0,0,#REF!,1))</definedName>
    <definedName name="chart_ratehist">OFFSET(#REF!,2,0,#REF!,1)</definedName>
    <definedName name="chart_taxreturned">OFFSET(#REF!,2,0,#REF!,1)</definedName>
    <definedName name="check">#REF!</definedName>
    <definedName name="cod">#REF!</definedName>
    <definedName name="code060712">#REF!</definedName>
    <definedName name="code3">#REF!</definedName>
    <definedName name="code4">#REF!</definedName>
    <definedName name="codel">#REF!</definedName>
    <definedName name="ColumnTitle1">" "</definedName>
    <definedName name="compound_period">INDEX({2,12},MATCH(#REF!,#REF!,0))</definedName>
    <definedName name="compound_periods">{"Semi-Annually";"Monthly"}</definedName>
    <definedName name="conchk02">#REF!</definedName>
    <definedName name="conchk05">#REF!</definedName>
    <definedName name="conchk06">#REF!</definedName>
    <definedName name="conchk062">#REF!</definedName>
    <definedName name="conchk07">#REF!</definedName>
    <definedName name="conchk08">#REF!</definedName>
    <definedName name="conchk09">#REF!</definedName>
    <definedName name="CONCHK12">#REF!</definedName>
    <definedName name="conck03">#REF!</definedName>
    <definedName name="CORE_SF">#REF!</definedName>
    <definedName name="costcent">#REF!</definedName>
    <definedName name="Costs">#REF!</definedName>
    <definedName name="CP">INDEX({2,12},MATCH(#REF!,compound_periods,0))</definedName>
    <definedName name="crccm7expforecastlookup">#REF!</definedName>
    <definedName name="crccm7forecastlookup">#REF!</definedName>
    <definedName name="d">#REF!</definedName>
    <definedName name="Day">{"Sunday";"Monday"}</definedName>
    <definedName name="Daycase_Latham">#REF!</definedName>
    <definedName name="Days">{0,1,2,3,4,5,6}</definedName>
    <definedName name="Directorate">#REF!</definedName>
    <definedName name="divs">#REF!</definedName>
    <definedName name="DP_EndDate">#REF!</definedName>
    <definedName name="DP_StartDate">#REF!</definedName>
    <definedName name="e">#REF!</definedName>
    <definedName name="ECRANGE">#REF!</definedName>
    <definedName name="edinclookup">#REF!</definedName>
    <definedName name="Elective_Latham">#REF!</definedName>
    <definedName name="exp">#REF!</definedName>
    <definedName name="EXP_HD">#REF!</definedName>
    <definedName name="Export_frmBrowseResultsAnnual_Comp">#REF!</definedName>
    <definedName name="ExternalData8">#REF!</definedName>
    <definedName name="ExternalData9">#REF!</definedName>
    <definedName name="FIMS">#REF!</definedName>
    <definedName name="Fin">#REF!</definedName>
    <definedName name="FollowOP_Latham">#REF!</definedName>
    <definedName name="fpdate">#REF!</definedName>
    <definedName name="frequency">{"Monthly";"Semi-Monthly";"Bi-Weekly";"Weekly";"Acc Bi-Weekly";"Acc Weekly"}</definedName>
    <definedName name="full">#REF!</definedName>
    <definedName name="Grand_Total">#REF!</definedName>
    <definedName name="HAs">#REF!</definedName>
    <definedName name="inclookup">#REF!</definedName>
    <definedName name="Income">#REF!</definedName>
    <definedName name="int">#REF!</definedName>
    <definedName name="Intensive_Full">#REF!</definedName>
    <definedName name="Intensive_LMC">#REF!</definedName>
    <definedName name="Interval">#REF!</definedName>
    <definedName name="KPI">#REF!</definedName>
    <definedName name="LastWeekNum">#REF!</definedName>
    <definedName name="lastyr">#REF!</definedName>
    <definedName name="LATHAM_MTH_10">#REF!</definedName>
    <definedName name="LATHAM_MTH_11">#REF!</definedName>
    <definedName name="LATHAM_MTH_12">#REF!</definedName>
    <definedName name="LATHAM_MTH_3">#REF!</definedName>
    <definedName name="LATHAM_MTH_4">#REF!</definedName>
    <definedName name="LATHAM_MTH_5">#REF!</definedName>
    <definedName name="LATHAM_MTH_6">#REF!</definedName>
    <definedName name="LATHAM_MTH_7">#REF!</definedName>
    <definedName name="LATHAM_MTH_8">#REF!</definedName>
    <definedName name="LATHAM_MTH_9">#REF!</definedName>
    <definedName name="Link_Lookup">#REF!</definedName>
    <definedName name="loan_amount">#REF!</definedName>
    <definedName name="Lookup">#REF!</definedName>
    <definedName name="LTFM">#REF!</definedName>
    <definedName name="LYTOT">#REF!</definedName>
    <definedName name="marginal">#REF!</definedName>
    <definedName name="Month">INDEX({1,2,3,4,5,6,7,8,9,10,11,12},MATCH(#REF!,Month1,0))</definedName>
    <definedName name="Month1">{"January";"February";"March";"April";"May";"June";"July";"August";"September";"October";"November";"December"}</definedName>
    <definedName name="month12">#REF!</definedName>
    <definedName name="month120506">#REF!</definedName>
    <definedName name="monthly_payment">-PMT((((1+#REF!/CP)^(CP/12))-1),#REF!*12,loan_amount)</definedName>
    <definedName name="monthNames">{"January","February","March","April","May","June","July","August","September","October","November","December"}</definedName>
    <definedName name="Months">#REF!</definedName>
    <definedName name="months_per_period">INDEX({1,0.5,0.5,0.25,0.5,0.25},MATCH(#REF!,frequency,0))</definedName>
    <definedName name="NewOP_Latham">#REF!</definedName>
    <definedName name="nhsapr">#REF!</definedName>
    <definedName name="nhsdec">#REF!</definedName>
    <definedName name="nhsfeb">#REF!</definedName>
    <definedName name="nhsfeb7">#REF!</definedName>
    <definedName name="nhsjan">#REF!</definedName>
    <definedName name="NHSJUN">#REF!</definedName>
    <definedName name="nhsmar">#REF!</definedName>
    <definedName name="nhsmay">#REF!</definedName>
    <definedName name="nhsnov">#REF!</definedName>
    <definedName name="NHSNOV06">#REF!</definedName>
    <definedName name="NHSNOV062">#REF!</definedName>
    <definedName name="nhsoct">#REF!</definedName>
    <definedName name="nhssept">#REF!</definedName>
    <definedName name="nonapr">#REF!</definedName>
    <definedName name="nondec">#REF!</definedName>
    <definedName name="NONDEC06">#REF!</definedName>
    <definedName name="NonElective_Latham_CPC">#REF!</definedName>
    <definedName name="NonElective_Latham_CV">#REF!</definedName>
    <definedName name="nonfeb">#REF!</definedName>
    <definedName name="nonjan">#REF!</definedName>
    <definedName name="NONJUN">#REF!</definedName>
    <definedName name="nonmar">#REF!</definedName>
    <definedName name="nonmar7">#REF!</definedName>
    <definedName name="nonmay">#REF!</definedName>
    <definedName name="nonnov">#REF!</definedName>
    <definedName name="NONNOVE06">#REF!</definedName>
    <definedName name="nonoct">#REF!</definedName>
    <definedName name="NonPay">#REF!</definedName>
    <definedName name="NOTTS_FORC">#REF!</definedName>
    <definedName name="nper">#REF!*#REF!</definedName>
    <definedName name="NYPLAN">#REF!</definedName>
    <definedName name="ORG">#REF!</definedName>
    <definedName name="page1_inclusions">#REF!</definedName>
    <definedName name="page2_exclusions">#REF!</definedName>
    <definedName name="Pay">#REF!</definedName>
    <definedName name="payment">#REF!</definedName>
    <definedName name="payments">MAX(#REF!)</definedName>
    <definedName name="PbR2PCT">#REF!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iods_per_year">INDEX({12,24,26,52,26,52},MATCH(#REF!,frequency,0))</definedName>
    <definedName name="Plan">PeriodInPlan*(#REF!&gt;0)</definedName>
    <definedName name="PlanNameByUser">#REF!</definedName>
    <definedName name="PlanStartDate">#REF!</definedName>
    <definedName name="PlanStartWeek">#REF!</definedName>
    <definedName name="ppy">periods_per_year</definedName>
    <definedName name="Prices98">#REF!</definedName>
    <definedName name="_xlnm.Print_Area" localSheetId="0">DASH!$A$1:$AD$51</definedName>
    <definedName name="PYACC">#REF!</definedName>
    <definedName name="PYACC1">#REF!</definedName>
    <definedName name="q">#REF!</definedName>
    <definedName name="Query">#REF!</definedName>
    <definedName name="Query_from_mck_uhl">#REF!</definedName>
    <definedName name="RECON_ORGNAME">#REF!</definedName>
    <definedName name="Recurrent">#REF!</definedName>
    <definedName name="Retrievals_Full_Cost">#REF!</definedName>
    <definedName name="Retrievals_Marg_Cost">#REF!</definedName>
    <definedName name="risk">#REF!</definedName>
    <definedName name="ScheduleStart">#REF!</definedName>
    <definedName name="Schemecategory">#REF!</definedName>
    <definedName name="SchemeSummary">#REF!</definedName>
    <definedName name="sept">#REF!</definedName>
    <definedName name="Start_Day">INDEX({1,2},MATCH(#REF!,Day,0))</definedName>
    <definedName name="start_rate">#REF!</definedName>
    <definedName name="startday">#REF!</definedName>
    <definedName name="StatusSummaryGraph_DP">#REF!</definedName>
    <definedName name="t">#REF!</definedName>
    <definedName name="T01_A_11">#REF!</definedName>
    <definedName name="T01_A_2_3">#REF!</definedName>
    <definedName name="T01_A_3_2">#REF!</definedName>
    <definedName name="T01_A_3_3">#REF!</definedName>
    <definedName name="T01_A_8">#REF!</definedName>
    <definedName name="T01_E_11">#REF!</definedName>
    <definedName name="T01_E_2_3">#REF!</definedName>
    <definedName name="T01_E_3_2">#REF!</definedName>
    <definedName name="T01_E_3_3">#REF!</definedName>
    <definedName name="T01_E_8">#REF!</definedName>
    <definedName name="T02_A_1_1">#REF!</definedName>
    <definedName name="T02_A_1_2">#REF!</definedName>
    <definedName name="T02_A_10">#REF!</definedName>
    <definedName name="T02_A_11">#REF!</definedName>
    <definedName name="T02_A_12_1">#REF!</definedName>
    <definedName name="T02_A_12_2">#REF!</definedName>
    <definedName name="T02_A_12_3">#REF!</definedName>
    <definedName name="T02_A_13">#REF!</definedName>
    <definedName name="T02_A_14_1">#REF!</definedName>
    <definedName name="T02_A_14_2">#REF!</definedName>
    <definedName name="T02_A_15">#REF!</definedName>
    <definedName name="T02_A_15_1">#REF!</definedName>
    <definedName name="T02_A_15_2">#REF!</definedName>
    <definedName name="T02_A_16">#REF!</definedName>
    <definedName name="T02_A_17">#REF!</definedName>
    <definedName name="T02_A_18">#REF!</definedName>
    <definedName name="T02_A_19_1">#REF!</definedName>
    <definedName name="T02_A_19_2">#REF!</definedName>
    <definedName name="T02_A_2">#REF!</definedName>
    <definedName name="T02_A_20_1">#REF!</definedName>
    <definedName name="T02_A_20_2">#REF!</definedName>
    <definedName name="T02_A_20_3">#REF!</definedName>
    <definedName name="T02_A_21">#REF!</definedName>
    <definedName name="T02_A_23">#REF!</definedName>
    <definedName name="T02_A_24">#REF!</definedName>
    <definedName name="T02_A_25">#REF!</definedName>
    <definedName name="T02_A_26_1">#REF!</definedName>
    <definedName name="T02_A_26_2">#REF!</definedName>
    <definedName name="T02_A_27">#REF!</definedName>
    <definedName name="T02_A_28">#REF!</definedName>
    <definedName name="T02_A_3_1">#REF!</definedName>
    <definedName name="T02_A_3_2">#REF!</definedName>
    <definedName name="T02_A_31">#REF!</definedName>
    <definedName name="T02_A_4">#REF!</definedName>
    <definedName name="T02_A_5">#REF!</definedName>
    <definedName name="T02_A_6">#REF!</definedName>
    <definedName name="T02_A_7_1">#REF!</definedName>
    <definedName name="T02_A_7_2">#REF!</definedName>
    <definedName name="T02_A_7_3">#REF!</definedName>
    <definedName name="T02_A_7_4">#REF!</definedName>
    <definedName name="T02_A_8">#REF!</definedName>
    <definedName name="T02_A_9">#REF!</definedName>
    <definedName name="T02_C_14_1">#REF!</definedName>
    <definedName name="T02_C_14_2">#REF!</definedName>
    <definedName name="T02_C_15">#REF!</definedName>
    <definedName name="T02_C_20_1">#REF!</definedName>
    <definedName name="T02_C_23">#REF!</definedName>
    <definedName name="T02_D_11">#REF!</definedName>
    <definedName name="T02_D_12_1">#REF!</definedName>
    <definedName name="T02_D_12_2">#REF!</definedName>
    <definedName name="T02_D_12_3">#REF!</definedName>
    <definedName name="T02_D_13">#REF!</definedName>
    <definedName name="T02_D_14_1">#REF!</definedName>
    <definedName name="T02_D_14_2">#REF!</definedName>
    <definedName name="T02_D_15">#REF!</definedName>
    <definedName name="T02_D_19_1">#REF!</definedName>
    <definedName name="T02_D_19_2">#REF!</definedName>
    <definedName name="T02_D_20_1">#REF!</definedName>
    <definedName name="T02_D_20_2">#REF!</definedName>
    <definedName name="T02_D_21">#REF!</definedName>
    <definedName name="T02_D_23">#REF!</definedName>
    <definedName name="T02_D_31">#REF!</definedName>
    <definedName name="T02_D_6">#REF!</definedName>
    <definedName name="T02_D_7_1">#REF!</definedName>
    <definedName name="T02_D_7_2">#REF!</definedName>
    <definedName name="T02_D_7_3">#REF!</definedName>
    <definedName name="T02_D_7_4">#REF!</definedName>
    <definedName name="T02_D_8">#REF!</definedName>
    <definedName name="T02_D_9">#REF!</definedName>
    <definedName name="T03_A_1">#REF!</definedName>
    <definedName name="T03_A_10">#REF!</definedName>
    <definedName name="T03_A_13_3">#REF!</definedName>
    <definedName name="T03_A_14">#REF!</definedName>
    <definedName name="T03_A_14_1">#REF!</definedName>
    <definedName name="T03_A_14_2">#REF!</definedName>
    <definedName name="T03_A_15">#REF!</definedName>
    <definedName name="T03_A_16">#REF!</definedName>
    <definedName name="T03_A_18">#REF!</definedName>
    <definedName name="T03_A_22">#REF!</definedName>
    <definedName name="T03_A_9">#REF!</definedName>
    <definedName name="T03_B_1">#REF!</definedName>
    <definedName name="T03_B_10">#REF!</definedName>
    <definedName name="T03_B_13_3">#REF!</definedName>
    <definedName name="T03_B_14">#REF!</definedName>
    <definedName name="T03_B_14_1">#REF!</definedName>
    <definedName name="T03_B_14_2">#REF!</definedName>
    <definedName name="T03_B_15">#REF!</definedName>
    <definedName name="T03_B_16">#REF!</definedName>
    <definedName name="T03_B_18">#REF!</definedName>
    <definedName name="T03_B_2">#REF!</definedName>
    <definedName name="T03_B_22">#REF!</definedName>
    <definedName name="T03_B_23">#REF!</definedName>
    <definedName name="T03_B_24">#REF!</definedName>
    <definedName name="T03_B_9">#REF!</definedName>
    <definedName name="T04_E_2_13">#REF!</definedName>
    <definedName name="T04_E_3_3">#REF!</definedName>
    <definedName name="T04_E_3_6">#REF!</definedName>
    <definedName name="T04A_D_2_16">#REF!</definedName>
    <definedName name="T04A_D_3_5">#REF!</definedName>
    <definedName name="T04A_D_3_8">#REF!</definedName>
    <definedName name="term">#REF!</definedName>
    <definedName name="Theme">#REF!</definedName>
    <definedName name="total0506">#REF!</definedName>
    <definedName name="Trend">#REF!</definedName>
    <definedName name="TYPE">#REF!</definedName>
    <definedName name="uhlaccountcode">#REF!</definedName>
    <definedName name="uhlcostcentre">#REF!</definedName>
    <definedName name="valuevx">42.314159</definedName>
    <definedName name="variable">IF(#REF!="Variable Rate",TRUE,FALSE)</definedName>
    <definedName name="vertex42_copyright" hidden="1">"© 2007-2019 Vertex42 LLC"</definedName>
    <definedName name="vertex42_id" hidden="1">"weekly-calendar-template.xlsx"</definedName>
    <definedName name="vertex42_title" hidden="1">"Weekly Calendar Template"</definedName>
    <definedName name="w">#REF!</definedName>
    <definedName name="WARKS_NEW_TARGET_VALUES">#REF!</definedName>
    <definedName name="WeekDay">{1,2,3,4,5,6,7}</definedName>
    <definedName name="weekDayNames">{"Su","M","Tu","W","Th","F","Sa"}</definedName>
    <definedName name="WeekdayOption">MATCH(WeekStart,Weekdays,0)+10</definedName>
    <definedName name="Weekdays">{"Monday","Tuesday","Wednesday","Thursday","Friday","Saturday","Sunday"}</definedName>
    <definedName name="WeekNo">{1;2;3;4;5;6}</definedName>
    <definedName name="WeekStart">#REF!</definedName>
    <definedName name="WeekStartValue">IF(WeekStart="Monday",2,1)</definedName>
    <definedName name="WP_EndWeek">#REF!</definedName>
    <definedName name="WP_StartWeek">#REF!</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3" i="1" l="1" a="1"/>
  <c r="AD33" i="1" s="1"/>
  <c r="AC33" i="1" a="1"/>
  <c r="AC33" i="1" s="1"/>
  <c r="AB33" i="1" a="1"/>
  <c r="AB33" i="1" s="1"/>
  <c r="AA33" i="1" a="1"/>
  <c r="AA33" i="1" s="1"/>
  <c r="Z33" i="1" a="1"/>
  <c r="Z33" i="1" s="1"/>
  <c r="O33" i="1"/>
  <c r="M33" i="1" a="1"/>
  <c r="M33" i="1" s="1"/>
  <c r="N33" i="1" s="1"/>
  <c r="L33" i="1" a="1"/>
  <c r="L33" i="1" s="1"/>
  <c r="I33" i="1" a="1"/>
  <c r="I33" i="1" s="1"/>
  <c r="H33" i="1" s="1"/>
  <c r="F33" i="1"/>
  <c r="G33" i="1" s="1"/>
  <c r="D33" i="1" a="1"/>
  <c r="D33" i="1" s="1"/>
  <c r="AD32" i="1" a="1"/>
  <c r="AD32" i="1" s="1"/>
  <c r="AC32" i="1" a="1"/>
  <c r="AC32" i="1" s="1"/>
  <c r="AB32" i="1" a="1"/>
  <c r="AB32" i="1" s="1"/>
  <c r="AA32" i="1" a="1"/>
  <c r="AA32" i="1" s="1"/>
  <c r="Z32" i="1" a="1"/>
  <c r="Z32" i="1" s="1"/>
  <c r="O32" i="1"/>
  <c r="M32" i="1" a="1"/>
  <c r="M32" i="1" s="1"/>
  <c r="L32" i="1" a="1"/>
  <c r="L32" i="1" s="1"/>
  <c r="I32" i="1" a="1"/>
  <c r="I32" i="1" s="1"/>
  <c r="H32" i="1" s="1"/>
  <c r="F32" i="1"/>
  <c r="G32" i="1" s="1"/>
  <c r="D32" i="1" a="1"/>
  <c r="D32" i="1" s="1"/>
  <c r="AD31" i="1" a="1"/>
  <c r="AD31" i="1" s="1"/>
  <c r="AC31" i="1" a="1"/>
  <c r="AC31" i="1" s="1"/>
  <c r="AB31" i="1" a="1"/>
  <c r="AB31" i="1" s="1"/>
  <c r="AA31" i="1" a="1"/>
  <c r="AA31" i="1" s="1"/>
  <c r="Z31" i="1" a="1"/>
  <c r="Z31" i="1" s="1"/>
  <c r="O31" i="1"/>
  <c r="M31" i="1" a="1"/>
  <c r="M31" i="1" s="1"/>
  <c r="N31" i="1" s="1"/>
  <c r="L31" i="1" a="1"/>
  <c r="L31" i="1" s="1"/>
  <c r="I31" i="1" a="1"/>
  <c r="I31" i="1" s="1"/>
  <c r="H31" i="1" s="1"/>
  <c r="J31" i="1" s="1"/>
  <c r="K31" i="1" s="1"/>
  <c r="S31" i="1" s="1"/>
  <c r="G31" i="1"/>
  <c r="F31" i="1"/>
  <c r="D31" i="1" a="1"/>
  <c r="D31" i="1" s="1"/>
  <c r="AD30" i="1" a="1"/>
  <c r="AD30" i="1" s="1"/>
  <c r="AC30" i="1" a="1"/>
  <c r="AC30" i="1" s="1"/>
  <c r="AB30" i="1" a="1"/>
  <c r="AB30" i="1" s="1"/>
  <c r="AA30" i="1" a="1"/>
  <c r="AA30" i="1" s="1"/>
  <c r="Z30" i="1" a="1"/>
  <c r="Z30" i="1" s="1"/>
  <c r="O30" i="1"/>
  <c r="P30" i="1" s="1"/>
  <c r="Q30" i="1" s="1"/>
  <c r="M30" i="1" a="1"/>
  <c r="M30" i="1" s="1"/>
  <c r="L30" i="1" a="1"/>
  <c r="L30" i="1" s="1"/>
  <c r="I30" i="1" a="1"/>
  <c r="I30" i="1" s="1"/>
  <c r="H30" i="1" s="1"/>
  <c r="F30" i="1"/>
  <c r="G30" i="1" s="1"/>
  <c r="D30" i="1" a="1"/>
  <c r="D30" i="1" s="1"/>
  <c r="AD29" i="1" a="1"/>
  <c r="AD29" i="1" s="1"/>
  <c r="AC29" i="1" a="1"/>
  <c r="AC29" i="1" s="1"/>
  <c r="AB29" i="1" a="1"/>
  <c r="AB29" i="1" s="1"/>
  <c r="AA29" i="1" a="1"/>
  <c r="AA29" i="1" s="1"/>
  <c r="Z29" i="1" a="1"/>
  <c r="Z29" i="1" s="1"/>
  <c r="P29" i="1"/>
  <c r="O29" i="1"/>
  <c r="M29" i="1" a="1"/>
  <c r="M29" i="1" s="1"/>
  <c r="N29" i="1" s="1"/>
  <c r="L29" i="1"/>
  <c r="L29" i="1" a="1"/>
  <c r="I29" i="1" a="1"/>
  <c r="I29" i="1" s="1"/>
  <c r="H29" i="1" s="1"/>
  <c r="F29" i="1"/>
  <c r="G29" i="1" s="1"/>
  <c r="D29" i="1" a="1"/>
  <c r="D29" i="1" s="1"/>
  <c r="AD28" i="1" a="1"/>
  <c r="AD28" i="1" s="1"/>
  <c r="AC28" i="1" a="1"/>
  <c r="AC28" i="1" s="1"/>
  <c r="AB28" i="1" a="1"/>
  <c r="AB28" i="1" s="1"/>
  <c r="AA28" i="1" a="1"/>
  <c r="AA28" i="1" s="1"/>
  <c r="Z28" i="1" a="1"/>
  <c r="Z28" i="1" s="1"/>
  <c r="O28" i="1"/>
  <c r="P28" i="1" s="1"/>
  <c r="Q28" i="1" s="1"/>
  <c r="M28" i="1" a="1"/>
  <c r="M28" i="1" s="1"/>
  <c r="N28" i="1" s="1"/>
  <c r="L28" i="1" a="1"/>
  <c r="L28" i="1" s="1"/>
  <c r="I28" i="1" a="1"/>
  <c r="I28" i="1" s="1"/>
  <c r="F28" i="1"/>
  <c r="G28" i="1" s="1"/>
  <c r="D28" i="1" a="1"/>
  <c r="D28" i="1" s="1"/>
  <c r="AD27" i="1" a="1"/>
  <c r="AD27" i="1" s="1"/>
  <c r="AC27" i="1" a="1"/>
  <c r="AC27" i="1" s="1"/>
  <c r="AB27" i="1" a="1"/>
  <c r="AB27" i="1" s="1"/>
  <c r="AA27" i="1" a="1"/>
  <c r="AA27" i="1" s="1"/>
  <c r="Z27" i="1" a="1"/>
  <c r="Z27" i="1" s="1"/>
  <c r="M27" i="1" a="1"/>
  <c r="M27" i="1" s="1"/>
  <c r="N27" i="1" s="1"/>
  <c r="L27" i="1" a="1"/>
  <c r="L27" i="1" s="1"/>
  <c r="I27" i="1" a="1"/>
  <c r="I27" i="1" s="1"/>
  <c r="F27" i="1"/>
  <c r="G27" i="1" s="1"/>
  <c r="D27" i="1" a="1"/>
  <c r="D27" i="1" s="1"/>
  <c r="AC21" i="1" a="1"/>
  <c r="AC21" i="1" s="1"/>
  <c r="AB21" i="1" a="1"/>
  <c r="AB21" i="1" s="1"/>
  <c r="O21" i="1"/>
  <c r="P21" i="1" s="1"/>
  <c r="Q21" i="1" s="1"/>
  <c r="M21" i="1" a="1"/>
  <c r="M21" i="1" s="1"/>
  <c r="N21" i="1" s="1"/>
  <c r="L21" i="1" a="1"/>
  <c r="L21" i="1" s="1"/>
  <c r="I21" i="1" a="1"/>
  <c r="I21" i="1" s="1"/>
  <c r="H21" i="1" s="1"/>
  <c r="J21" i="1" s="1"/>
  <c r="K21" i="1" s="1"/>
  <c r="S21" i="1" s="1"/>
  <c r="G21" i="1"/>
  <c r="F21" i="1"/>
  <c r="AC20" i="1" a="1"/>
  <c r="AC20" i="1" s="1"/>
  <c r="AB20" i="1" a="1"/>
  <c r="AB20" i="1" s="1"/>
  <c r="P20" i="1"/>
  <c r="M20" i="1" a="1"/>
  <c r="M20" i="1" s="1"/>
  <c r="N20" i="1" s="1"/>
  <c r="L20" i="1" a="1"/>
  <c r="L20" i="1" s="1"/>
  <c r="I20" i="1" a="1"/>
  <c r="I20" i="1" s="1"/>
  <c r="R20" i="1" s="1"/>
  <c r="F20" i="1"/>
  <c r="G20" i="1" s="1"/>
  <c r="Q20" i="1" s="1"/>
  <c r="AD19" i="1" a="1"/>
  <c r="AD19" i="1" s="1"/>
  <c r="AC19" i="1" a="1"/>
  <c r="AC19" i="1" s="1"/>
  <c r="AB19" i="1" a="1"/>
  <c r="AB19" i="1" s="1"/>
  <c r="AA19" i="1" a="1"/>
  <c r="AA19" i="1" s="1"/>
  <c r="Z19" i="1" a="1"/>
  <c r="Z19" i="1" s="1"/>
  <c r="M19" i="1" a="1"/>
  <c r="M19" i="1" s="1"/>
  <c r="L19" i="1" a="1"/>
  <c r="L19" i="1" s="1"/>
  <c r="I19" i="1" a="1"/>
  <c r="I19" i="1" s="1"/>
  <c r="G19" i="1"/>
  <c r="D19" i="1" a="1"/>
  <c r="D19" i="1" s="1"/>
  <c r="AD18" i="1" a="1"/>
  <c r="AD18" i="1" s="1"/>
  <c r="AC18" i="1" a="1"/>
  <c r="AC18" i="1" s="1"/>
  <c r="AB18" i="1" a="1"/>
  <c r="AB18" i="1" s="1"/>
  <c r="AA18" i="1" a="1"/>
  <c r="AA18" i="1" s="1"/>
  <c r="Z18" i="1"/>
  <c r="Z18" i="1" a="1"/>
  <c r="M18" i="1" a="1"/>
  <c r="M18" i="1" s="1"/>
  <c r="L18" i="1" a="1"/>
  <c r="L18" i="1" s="1"/>
  <c r="I18" i="1" a="1"/>
  <c r="I18" i="1" s="1"/>
  <c r="D18" i="1" a="1"/>
  <c r="D18" i="1" s="1"/>
  <c r="AD17" i="1" a="1"/>
  <c r="AD17" i="1" s="1"/>
  <c r="AC17" i="1" a="1"/>
  <c r="AC17" i="1" s="1"/>
  <c r="AB17" i="1" a="1"/>
  <c r="AB17" i="1" s="1"/>
  <c r="AA17" i="1" a="1"/>
  <c r="AA17" i="1" s="1"/>
  <c r="Z17" i="1" a="1"/>
  <c r="Z17" i="1" s="1"/>
  <c r="M17" i="1" a="1"/>
  <c r="M17" i="1" s="1"/>
  <c r="L17" i="1" a="1"/>
  <c r="L17" i="1" s="1"/>
  <c r="I17" i="1" a="1"/>
  <c r="I17" i="1" s="1"/>
  <c r="D17" i="1" a="1"/>
  <c r="D17" i="1" s="1"/>
  <c r="AD16" i="1" a="1"/>
  <c r="AD16" i="1" s="1"/>
  <c r="AC16" i="1" a="1"/>
  <c r="AC16" i="1" s="1"/>
  <c r="AB16" i="1" a="1"/>
  <c r="AB16" i="1" s="1"/>
  <c r="AA16" i="1" a="1"/>
  <c r="AA16" i="1" s="1"/>
  <c r="Z16" i="1" a="1"/>
  <c r="Z16" i="1" s="1"/>
  <c r="M16" i="1" a="1"/>
  <c r="M16" i="1" s="1"/>
  <c r="L16" i="1" a="1"/>
  <c r="L16" i="1" s="1"/>
  <c r="I16" i="1" a="1"/>
  <c r="I16" i="1" s="1"/>
  <c r="G16" i="1"/>
  <c r="D16" i="1" a="1"/>
  <c r="D16" i="1" s="1"/>
  <c r="AD15" i="1" a="1"/>
  <c r="AD15" i="1" s="1"/>
  <c r="AC15" i="1" a="1"/>
  <c r="AC15" i="1" s="1"/>
  <c r="AB15" i="1" a="1"/>
  <c r="AB15" i="1" s="1"/>
  <c r="AA15" i="1" a="1"/>
  <c r="AA15" i="1" s="1"/>
  <c r="Z15" i="1" a="1"/>
  <c r="Z15" i="1" s="1"/>
  <c r="M15" i="1" a="1"/>
  <c r="M15" i="1" s="1"/>
  <c r="L15" i="1" a="1"/>
  <c r="L15" i="1" s="1"/>
  <c r="I15" i="1" a="1"/>
  <c r="I15" i="1" s="1"/>
  <c r="H15" i="1" s="1"/>
  <c r="D15" i="1" a="1"/>
  <c r="D15" i="1" s="1"/>
  <c r="AD14" i="1" a="1"/>
  <c r="AD14" i="1" s="1"/>
  <c r="AC14" i="1" a="1"/>
  <c r="AC14" i="1" s="1"/>
  <c r="AB14" i="1" a="1"/>
  <c r="AB14" i="1" s="1"/>
  <c r="AA14" i="1" a="1"/>
  <c r="AA14" i="1" s="1"/>
  <c r="Z14" i="1" a="1"/>
  <c r="Z14" i="1" s="1"/>
  <c r="M14" i="1" a="1"/>
  <c r="M14" i="1" s="1"/>
  <c r="L14" i="1" a="1"/>
  <c r="L14" i="1" s="1"/>
  <c r="I14" i="1" a="1"/>
  <c r="I14" i="1" s="1"/>
  <c r="P14" i="1"/>
  <c r="D14" i="1" a="1"/>
  <c r="D14" i="1" s="1"/>
  <c r="AD13" i="1" a="1"/>
  <c r="AD13" i="1" s="1"/>
  <c r="AC13" i="1" a="1"/>
  <c r="AC13" i="1" s="1"/>
  <c r="AB13" i="1" a="1"/>
  <c r="AB13" i="1" s="1"/>
  <c r="AA13" i="1" a="1"/>
  <c r="AA13" i="1" s="1"/>
  <c r="Z13" i="1" a="1"/>
  <c r="Z13" i="1" s="1"/>
  <c r="M13" i="1" a="1"/>
  <c r="M13" i="1" s="1"/>
  <c r="L13" i="1" a="1"/>
  <c r="L13" i="1" s="1"/>
  <c r="I13" i="1" a="1"/>
  <c r="I13" i="1" s="1"/>
  <c r="G13" i="1"/>
  <c r="D13" i="1" a="1"/>
  <c r="D13" i="1" s="1"/>
  <c r="AD12" i="1" a="1"/>
  <c r="AD12" i="1" s="1"/>
  <c r="AC12" i="1" a="1"/>
  <c r="AC12" i="1" s="1"/>
  <c r="AB12" i="1" a="1"/>
  <c r="AB12" i="1" s="1"/>
  <c r="AA12" i="1" a="1"/>
  <c r="AA12" i="1" s="1"/>
  <c r="Z12" i="1" a="1"/>
  <c r="Z12" i="1" s="1"/>
  <c r="M12" i="1" a="1"/>
  <c r="M12" i="1" s="1"/>
  <c r="L12" i="1" a="1"/>
  <c r="L12" i="1" s="1"/>
  <c r="I12" i="1" a="1"/>
  <c r="I12" i="1" s="1"/>
  <c r="G12" i="1"/>
  <c r="D12" i="1" a="1"/>
  <c r="D12" i="1" s="1"/>
  <c r="AD11" i="1" a="1"/>
  <c r="AD11" i="1" s="1"/>
  <c r="AC11" i="1" a="1"/>
  <c r="AC11" i="1" s="1"/>
  <c r="AB11" i="1" a="1"/>
  <c r="AB11" i="1" s="1"/>
  <c r="AA11" i="1" a="1"/>
  <c r="AA11" i="1" s="1"/>
  <c r="Z11" i="1" a="1"/>
  <c r="Z11" i="1" s="1"/>
  <c r="M11" i="1" a="1"/>
  <c r="M11" i="1" s="1"/>
  <c r="L11" i="1" a="1"/>
  <c r="L11" i="1" s="1"/>
  <c r="I11" i="1" a="1"/>
  <c r="I11" i="1" s="1"/>
  <c r="D11" i="1" a="1"/>
  <c r="D11" i="1" s="1"/>
  <c r="AD10" i="1" a="1"/>
  <c r="AD10" i="1" s="1"/>
  <c r="AC10" i="1" a="1"/>
  <c r="AC10" i="1" s="1"/>
  <c r="AB10" i="1" a="1"/>
  <c r="AB10" i="1" s="1"/>
  <c r="AA10" i="1" a="1"/>
  <c r="AA10" i="1" s="1"/>
  <c r="Z10" i="1" a="1"/>
  <c r="Z10" i="1" s="1"/>
  <c r="M10" i="1" a="1"/>
  <c r="M10" i="1" s="1"/>
  <c r="L10" i="1" a="1"/>
  <c r="L10" i="1" s="1"/>
  <c r="I10" i="1" a="1"/>
  <c r="I10" i="1" s="1"/>
  <c r="D10" i="1" a="1"/>
  <c r="D10" i="1" s="1"/>
  <c r="AD9" i="1" a="1"/>
  <c r="AD9" i="1" s="1"/>
  <c r="AC9" i="1" a="1"/>
  <c r="AC9" i="1" s="1"/>
  <c r="AB9" i="1" a="1"/>
  <c r="AB9" i="1" s="1"/>
  <c r="AA9" i="1" a="1"/>
  <c r="AA9" i="1" s="1"/>
  <c r="Z9" i="1" a="1"/>
  <c r="Z9" i="1" s="1"/>
  <c r="P9" i="1"/>
  <c r="M9" i="1" a="1"/>
  <c r="M9" i="1" s="1"/>
  <c r="L9" i="1" a="1"/>
  <c r="L9" i="1" s="1"/>
  <c r="I9" i="1" a="1"/>
  <c r="I9" i="1" s="1"/>
  <c r="D9" i="1" a="1"/>
  <c r="D9" i="1" s="1"/>
  <c r="AD8" i="1" a="1"/>
  <c r="AD8" i="1" s="1"/>
  <c r="AC8" i="1" a="1"/>
  <c r="AC8" i="1" s="1"/>
  <c r="AB8" i="1" a="1"/>
  <c r="AB8" i="1" s="1"/>
  <c r="AA8" i="1" a="1"/>
  <c r="AA8" i="1" s="1"/>
  <c r="Z8" i="1" a="1"/>
  <c r="Z8" i="1" s="1"/>
  <c r="M8" i="1" a="1"/>
  <c r="M8" i="1" s="1"/>
  <c r="L8" i="1" a="1"/>
  <c r="L8" i="1" s="1"/>
  <c r="I8" i="1" a="1"/>
  <c r="I8" i="1" s="1"/>
  <c r="P8" i="1"/>
  <c r="D8" i="1" a="1"/>
  <c r="D8" i="1" s="1"/>
  <c r="AD7" i="1" a="1"/>
  <c r="AD7" i="1" s="1"/>
  <c r="AC7" i="1" a="1"/>
  <c r="AC7" i="1" s="1"/>
  <c r="AB7" i="1" a="1"/>
  <c r="AB7" i="1" s="1"/>
  <c r="AA7" i="1" a="1"/>
  <c r="AA7" i="1" s="1"/>
  <c r="Z7" i="1" a="1"/>
  <c r="Z7" i="1" s="1"/>
  <c r="M7" i="1" a="1"/>
  <c r="M7" i="1" s="1"/>
  <c r="L7" i="1" a="1"/>
  <c r="L7" i="1" s="1"/>
  <c r="I7" i="1" a="1"/>
  <c r="I7" i="1" s="1"/>
  <c r="D7" i="1" a="1"/>
  <c r="D7" i="1" s="1"/>
  <c r="AD6" i="1" a="1"/>
  <c r="AD6" i="1" s="1"/>
  <c r="AC6" i="1" a="1"/>
  <c r="AC6" i="1" s="1"/>
  <c r="AB6" i="1" a="1"/>
  <c r="AB6" i="1" s="1"/>
  <c r="AA6" i="1" a="1"/>
  <c r="AA6" i="1" s="1"/>
  <c r="Z6" i="1" a="1"/>
  <c r="Z6" i="1" s="1"/>
  <c r="M6" i="1" a="1"/>
  <c r="M6" i="1" s="1"/>
  <c r="L6" i="1" a="1"/>
  <c r="L6" i="1" s="1"/>
  <c r="I6" i="1" a="1"/>
  <c r="I6" i="1" s="1"/>
  <c r="D6" i="1" a="1"/>
  <c r="D6" i="1" s="1"/>
  <c r="G7" i="1" l="1"/>
  <c r="G9" i="1"/>
  <c r="P17" i="1"/>
  <c r="P6" i="1"/>
  <c r="Q6" i="1" s="1"/>
  <c r="G15" i="1"/>
  <c r="H16" i="1"/>
  <c r="J16" i="1" s="1"/>
  <c r="K16" i="1" s="1"/>
  <c r="S16" i="1" s="1"/>
  <c r="W16" i="1" s="1"/>
  <c r="P10" i="1"/>
  <c r="G10" i="1"/>
  <c r="N10" i="1" s="1"/>
  <c r="G6" i="1"/>
  <c r="R11" i="1"/>
  <c r="J15" i="1"/>
  <c r="K15" i="1" s="1"/>
  <c r="S15" i="1" s="1"/>
  <c r="W15" i="1" s="1"/>
  <c r="N16" i="1"/>
  <c r="N6" i="1"/>
  <c r="P11" i="1"/>
  <c r="Q11" i="1" s="1"/>
  <c r="N13" i="1"/>
  <c r="G17" i="1"/>
  <c r="Q17" i="1" s="1"/>
  <c r="H12" i="1"/>
  <c r="J12" i="1" s="1"/>
  <c r="K12" i="1" s="1"/>
  <c r="S12" i="1" s="1"/>
  <c r="U12" i="1" s="1"/>
  <c r="V12" i="1" s="1"/>
  <c r="N15" i="1"/>
  <c r="N11" i="1"/>
  <c r="H7" i="1"/>
  <c r="J7" i="1" s="1"/>
  <c r="K7" i="1" s="1"/>
  <c r="S7" i="1" s="1"/>
  <c r="T7" i="1" s="1"/>
  <c r="G14" i="1"/>
  <c r="Q14" i="1" s="1"/>
  <c r="H19" i="1"/>
  <c r="J19" i="1" s="1"/>
  <c r="K19" i="1" s="1"/>
  <c r="S19" i="1" s="1"/>
  <c r="N12" i="1"/>
  <c r="G11" i="1"/>
  <c r="G18" i="1"/>
  <c r="H18" i="1"/>
  <c r="J18" i="1" s="1"/>
  <c r="K18" i="1" s="1"/>
  <c r="S18" i="1" s="1"/>
  <c r="N9" i="1"/>
  <c r="N14" i="1"/>
  <c r="H8" i="1"/>
  <c r="H13" i="1"/>
  <c r="J13" i="1" s="1"/>
  <c r="K13" i="1" s="1"/>
  <c r="S13" i="1" s="1"/>
  <c r="T13" i="1" s="1"/>
  <c r="H28" i="1"/>
  <c r="J28" i="1" s="1"/>
  <c r="K28" i="1" s="1"/>
  <c r="S28" i="1" s="1"/>
  <c r="R28" i="1"/>
  <c r="N18" i="1"/>
  <c r="R29" i="1"/>
  <c r="R33" i="1"/>
  <c r="N30" i="1"/>
  <c r="R13" i="1"/>
  <c r="R15" i="1"/>
  <c r="R12" i="1"/>
  <c r="R32" i="1"/>
  <c r="H11" i="1"/>
  <c r="J11" i="1" s="1"/>
  <c r="K11" i="1" s="1"/>
  <c r="S11" i="1" s="1"/>
  <c r="R16" i="1"/>
  <c r="R19" i="1"/>
  <c r="T15" i="1"/>
  <c r="W12" i="1"/>
  <c r="T12" i="1"/>
  <c r="H17" i="1"/>
  <c r="R17" i="1"/>
  <c r="J32" i="1"/>
  <c r="K32" i="1" s="1"/>
  <c r="S32" i="1" s="1"/>
  <c r="R14" i="1"/>
  <c r="H14" i="1"/>
  <c r="Q29" i="1"/>
  <c r="U31" i="1"/>
  <c r="V31" i="1" s="1"/>
  <c r="T31" i="1"/>
  <c r="W31" i="1"/>
  <c r="R8" i="1"/>
  <c r="W21" i="1"/>
  <c r="U21" i="1"/>
  <c r="V21" i="1" s="1"/>
  <c r="T21" i="1"/>
  <c r="J30" i="1"/>
  <c r="K30" i="1" s="1"/>
  <c r="S30" i="1" s="1"/>
  <c r="N32" i="1"/>
  <c r="N34" i="1" s="1"/>
  <c r="M34" i="1" s="1"/>
  <c r="N7" i="1"/>
  <c r="Q9" i="1"/>
  <c r="R18" i="1"/>
  <c r="N19" i="1"/>
  <c r="J29" i="1"/>
  <c r="K29" i="1" s="1"/>
  <c r="S29" i="1" s="1"/>
  <c r="R7" i="1"/>
  <c r="G34" i="1"/>
  <c r="J33" i="1"/>
  <c r="K33" i="1" s="1"/>
  <c r="S33" i="1" s="1"/>
  <c r="H6" i="1"/>
  <c r="R6" i="1"/>
  <c r="H9" i="1"/>
  <c r="J9" i="1" s="1"/>
  <c r="K9" i="1" s="1"/>
  <c r="S9" i="1" s="1"/>
  <c r="R9" i="1"/>
  <c r="R10" i="1"/>
  <c r="H10" i="1"/>
  <c r="J10" i="1" s="1"/>
  <c r="K10" i="1" s="1"/>
  <c r="S10" i="1" s="1"/>
  <c r="H27" i="1"/>
  <c r="R27" i="1"/>
  <c r="R31" i="1"/>
  <c r="R21" i="1"/>
  <c r="G8" i="1"/>
  <c r="N8" i="1" s="1"/>
  <c r="P12" i="1"/>
  <c r="Q12" i="1" s="1"/>
  <c r="P15" i="1"/>
  <c r="Q15" i="1" s="1"/>
  <c r="P27" i="1"/>
  <c r="Q27" i="1" s="1"/>
  <c r="R30" i="1"/>
  <c r="P31" i="1"/>
  <c r="Q31" i="1" s="1"/>
  <c r="P7" i="1"/>
  <c r="Q7" i="1" s="1"/>
  <c r="P18" i="1"/>
  <c r="H20" i="1"/>
  <c r="J20" i="1" s="1"/>
  <c r="K20" i="1" s="1"/>
  <c r="S20" i="1" s="1"/>
  <c r="P32" i="1"/>
  <c r="Q32" i="1" s="1"/>
  <c r="P13" i="1"/>
  <c r="Q13" i="1" s="1"/>
  <c r="P16" i="1"/>
  <c r="Q16" i="1" s="1"/>
  <c r="P19" i="1"/>
  <c r="Q19" i="1" s="1"/>
  <c r="P33" i="1"/>
  <c r="Q33" i="1" s="1"/>
  <c r="X12" i="1" l="1"/>
  <c r="X15" i="1"/>
  <c r="W13" i="1"/>
  <c r="U7" i="1"/>
  <c r="V7" i="1" s="1"/>
  <c r="Q10" i="1"/>
  <c r="N17" i="1"/>
  <c r="U15" i="1"/>
  <c r="V15" i="1" s="1"/>
  <c r="J14" i="1"/>
  <c r="K14" i="1" s="1"/>
  <c r="S14" i="1" s="1"/>
  <c r="W14" i="1" s="1"/>
  <c r="X14" i="1" s="1"/>
  <c r="U13" i="1"/>
  <c r="V13" i="1" s="1"/>
  <c r="X13" i="1"/>
  <c r="U11" i="1"/>
  <c r="V11" i="1" s="1"/>
  <c r="T16" i="1"/>
  <c r="J17" i="1"/>
  <c r="K17" i="1" s="1"/>
  <c r="S17" i="1" s="1"/>
  <c r="T17" i="1" s="1"/>
  <c r="J8" i="1"/>
  <c r="K8" i="1" s="1"/>
  <c r="S8" i="1" s="1"/>
  <c r="U8" i="1" s="1"/>
  <c r="V8" i="1" s="1"/>
  <c r="W11" i="1"/>
  <c r="X11" i="1" s="1"/>
  <c r="W7" i="1"/>
  <c r="X7" i="1" s="1"/>
  <c r="U16" i="1"/>
  <c r="V16" i="1" s="1"/>
  <c r="Q18" i="1"/>
  <c r="X31" i="1"/>
  <c r="T11" i="1"/>
  <c r="X16" i="1"/>
  <c r="X21" i="1"/>
  <c r="N22" i="1"/>
  <c r="W29" i="1"/>
  <c r="X29" i="1" s="1"/>
  <c r="U29" i="1"/>
  <c r="V29" i="1" s="1"/>
  <c r="T29" i="1"/>
  <c r="W9" i="1"/>
  <c r="X9" i="1" s="1"/>
  <c r="U9" i="1"/>
  <c r="V9" i="1" s="1"/>
  <c r="T9" i="1"/>
  <c r="T28" i="1"/>
  <c r="W28" i="1"/>
  <c r="X28" i="1" s="1"/>
  <c r="U28" i="1"/>
  <c r="V28" i="1" s="1"/>
  <c r="Q8" i="1"/>
  <c r="T32" i="1"/>
  <c r="W32" i="1"/>
  <c r="X32" i="1" s="1"/>
  <c r="U32" i="1"/>
  <c r="V32" i="1" s="1"/>
  <c r="W20" i="1"/>
  <c r="X20" i="1" s="1"/>
  <c r="U20" i="1"/>
  <c r="V20" i="1" s="1"/>
  <c r="T20" i="1"/>
  <c r="W30" i="1"/>
  <c r="X30" i="1" s="1"/>
  <c r="U30" i="1"/>
  <c r="V30" i="1" s="1"/>
  <c r="T30" i="1"/>
  <c r="U18" i="1"/>
  <c r="V18" i="1" s="1"/>
  <c r="T18" i="1"/>
  <c r="W18" i="1"/>
  <c r="X18" i="1" s="1"/>
  <c r="J27" i="1"/>
  <c r="H34" i="1"/>
  <c r="G22" i="1"/>
  <c r="G2" i="1" s="1"/>
  <c r="J6" i="1"/>
  <c r="H22" i="1"/>
  <c r="W17" i="1"/>
  <c r="X17" i="1" s="1"/>
  <c r="U17" i="1"/>
  <c r="V17" i="1" s="1"/>
  <c r="W19" i="1"/>
  <c r="X19" i="1" s="1"/>
  <c r="U19" i="1"/>
  <c r="V19" i="1" s="1"/>
  <c r="T19" i="1"/>
  <c r="Q34" i="1"/>
  <c r="T10" i="1"/>
  <c r="U10" i="1"/>
  <c r="V10" i="1" s="1"/>
  <c r="W10" i="1"/>
  <c r="X10" i="1" s="1"/>
  <c r="W33" i="1"/>
  <c r="X33" i="1" s="1"/>
  <c r="U33" i="1"/>
  <c r="V33" i="1" s="1"/>
  <c r="T33" i="1"/>
  <c r="T14" i="1" l="1"/>
  <c r="W8" i="1"/>
  <c r="X8" i="1" s="1"/>
  <c r="U14" i="1"/>
  <c r="V14" i="1" s="1"/>
  <c r="T8" i="1"/>
  <c r="Q1" i="1"/>
  <c r="R1" i="1" s="1"/>
  <c r="J22" i="1"/>
  <c r="K6" i="1"/>
  <c r="S6" i="1" s="1"/>
  <c r="M22" i="1"/>
  <c r="N2" i="1"/>
  <c r="M2" i="1" s="1"/>
  <c r="Q22" i="1"/>
  <c r="Q2" i="1" s="1"/>
  <c r="H2" i="1"/>
  <c r="K27" i="1"/>
  <c r="S27" i="1" s="1"/>
  <c r="J34" i="1"/>
  <c r="K34" i="1" s="1"/>
  <c r="R2" i="1" l="1"/>
  <c r="J2" i="1"/>
  <c r="K2" i="1" s="1"/>
  <c r="K22" i="1"/>
  <c r="W6" i="1"/>
  <c r="X6" i="1" s="1"/>
  <c r="T6" i="1"/>
  <c r="U6" i="1"/>
  <c r="V6" i="1" s="1"/>
  <c r="U27" i="1"/>
  <c r="V27" i="1" s="1"/>
  <c r="V34" i="1" s="1"/>
  <c r="T27" i="1"/>
  <c r="W27" i="1"/>
  <c r="X27" i="1" s="1"/>
  <c r="V1" i="1" l="1"/>
  <c r="X1" i="1" s="1"/>
  <c r="V22" i="1"/>
  <c r="V2" i="1" s="1"/>
  <c r="X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<sst xmlns="http://schemas.openxmlformats.org/spreadsheetml/2006/main" count="104" uniqueCount="63">
  <si>
    <t>INVESTMENT</t>
  </si>
  <si>
    <t>PROFIT</t>
  </si>
  <si>
    <t>DAY</t>
  </si>
  <si>
    <t xml:space="preserve">Banked Profit </t>
  </si>
  <si>
    <t>vs. Recom</t>
  </si>
  <si>
    <t>Max Loss</t>
  </si>
  <si>
    <t xml:space="preserve">ISA </t>
  </si>
  <si>
    <t>Note</t>
  </si>
  <si>
    <t>TICKER</t>
  </si>
  <si>
    <t>COMPANY</t>
  </si>
  <si>
    <t>QTY</t>
  </si>
  <si>
    <t>BUY</t>
  </si>
  <si>
    <t>COST</t>
  </si>
  <si>
    <t>VALUE</t>
  </si>
  <si>
    <t>PRICE</t>
  </si>
  <si>
    <t>PROFIT %</t>
  </si>
  <si>
    <t>DAY CHANGE</t>
  </si>
  <si>
    <t>% DAY</t>
  </si>
  <si>
    <t>£ DAY</t>
  </si>
  <si>
    <t>CURRENT STOP</t>
  </si>
  <si>
    <t>% STOP  v COST</t>
  </si>
  <si>
    <t>MAX LOSS</t>
  </si>
  <si>
    <t>% STOP v PRICE</t>
  </si>
  <si>
    <t>REC STOP</t>
  </si>
  <si>
    <t>REC STOP MIN</t>
  </si>
  <si>
    <t>% R STOP v COST</t>
  </si>
  <si>
    <t>REC LOSS</t>
  </si>
  <si>
    <t>% RSTOP v PRICE</t>
  </si>
  <si>
    <t>ACTION</t>
  </si>
  <si>
    <t>PE</t>
  </si>
  <si>
    <t>Market Cap £m</t>
  </si>
  <si>
    <t>52wk  High</t>
  </si>
  <si>
    <t>52wk Low</t>
  </si>
  <si>
    <t>Industry</t>
  </si>
  <si>
    <t>% Increase from Cost</t>
  </si>
  <si>
    <t>Max Stop Loss</t>
  </si>
  <si>
    <t>CMCX</t>
  </si>
  <si>
    <t>&lt;10%</t>
  </si>
  <si>
    <t>SAG</t>
  </si>
  <si>
    <t>&lt;12.5%</t>
  </si>
  <si>
    <t>BE</t>
  </si>
  <si>
    <t>AEP</t>
  </si>
  <si>
    <t>&lt;15%</t>
  </si>
  <si>
    <t>YU.</t>
  </si>
  <si>
    <t>&lt;20%</t>
  </si>
  <si>
    <t>KIE</t>
  </si>
  <si>
    <t>&lt;30%</t>
  </si>
  <si>
    <t xml:space="preserve">15% from Price </t>
  </si>
  <si>
    <t>KLR</t>
  </si>
  <si>
    <t>FRP</t>
  </si>
  <si>
    <t>VIC</t>
  </si>
  <si>
    <t>MPE</t>
  </si>
  <si>
    <t>HTG</t>
  </si>
  <si>
    <t>RFX</t>
  </si>
  <si>
    <t>SSIT</t>
  </si>
  <si>
    <t>INVP</t>
  </si>
  <si>
    <t>HSBA</t>
  </si>
  <si>
    <t>SGLN</t>
  </si>
  <si>
    <t>ISHARES GOLD SGLN</t>
  </si>
  <si>
    <t>S&amp;P 500 VUSA</t>
  </si>
  <si>
    <t>TOTAL</t>
  </si>
  <si>
    <t>SIPP</t>
  </si>
  <si>
    <t>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</si>
</sst>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Red]\(#,##0\)"/>
    <numFmt numFmtId="165" formatCode="0.0%"/>
    <numFmt numFmtId="166" formatCode="#,##0.00;[Red]\(#,##0.00\)"/>
    <numFmt numFmtId="167" formatCode="#,##0_ ;\-#,##0\ "/>
    <numFmt numFmtId="168" formatCode="#,##0.0"/>
    <numFmt numFmtId="169" formatCode="_-* #,##0_-;\-* #,##0_-;_-* &quot;-&quot;??_-;_-@_-"/>
    <numFmt numFmtId="170" formatCode="_(* #,##0.00_);_(* \(#,##0.00\);_(* &quot;-&quot;??_);_(@_)"/>
  </numFmts>
  <fonts count="14" x14ac:knownFonts="1">
    <font>
      <sz val="11"/>
      <color theme="1"/>
      <name val="Aptos Narrow"/>
      <family val="2"/>
      <scheme val="minor"/>
    </font>
    <font>
      <sz val="11"/>
      <color theme="1"/>
      <name val="Aptos Narrow"/>
      <family val="2"/>
      <scheme val="minor"/>
    </font>
    <font>
      <b/>
      <sz val="12"/>
      <color theme="0"/>
      <name val="Aptos Narrow"/>
      <family val="2"/>
      <scheme val="minor"/>
    </font>
    <font>
      <sz val="12"/>
      <color theme="1"/>
      <name val="Aptos Narrow"/>
      <family val="2"/>
      <scheme val="minor"/>
    </font>
    <font>
      <b/>
      <sz val="16"/>
      <color theme="1"/>
      <name val="Aptos Narrow"/>
      <family val="2"/>
      <scheme val="minor"/>
    </font>
    <font>
      <i/>
      <sz val="11"/>
      <color theme="1"/>
      <name val="Aptos Narrow"/>
      <family val="2"/>
      <scheme val="minor"/>
    </font>
    <font>
      <b/>
      <sz val="22"/>
      <color theme="1"/>
      <name val="Aptos Narrow"/>
      <family val="2"/>
      <scheme val="minor"/>
    </font>
    <font>
      <sz val="22"/>
      <color theme="1"/>
      <name val="Aptos Narrow"/>
      <family val="2"/>
      <scheme val="minor"/>
    </font>
    <font>
      <b/>
      <sz val="12"/>
      <color theme="1"/>
      <name val="Aptos Narrow"/>
      <family val="2"/>
      <scheme val="minor"/>
    </font>
    <font>
      <sz val="11"/>
      <color theme="0"/>
      <name val="Aptos Display"/>
      <family val="2"/>
      <scheme val="major"/>
    </font>
    <font>
      <sz val="11"/>
      <color theme="1"/>
      <name val="Aptos Display"/>
      <family val="2"/>
      <scheme val="major"/>
    </font>
    <font>
      <sz val="11"/>
      <color rgb="FF000000"/>
      <name val="Aptos Display"/>
      <family val="2"/>
      <scheme val="major"/>
    </font>
    <font>
      <sz val="10"/>
      <color theme="1"/>
      <name val="Aptos Display"/>
      <family val="2"/>
      <scheme val="major"/>
    </font>
    <font>
      <b/>
      <sz val="11"/>
      <color theme="1"/>
      <name val="Aptos Display"/>
      <family val="2"/>
      <scheme val="major"/>
    </font>
  </fonts>
  <fills count="11">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3"/>
        <bgColor indexed="64"/>
      </patternFill>
    </fill>
    <fill>
      <patternFill patternType="solid">
        <fgColor theme="0"/>
        <bgColor theme="4" tint="0.59999389629810485"/>
      </patternFill>
    </fill>
    <fill>
      <patternFill patternType="solid">
        <fgColor theme="3" tint="0.89999084444715716"/>
        <bgColor indexed="64"/>
      </patternFill>
    </fill>
    <fill>
      <patternFill patternType="solid">
        <fgColor rgb="FFFFFFCC"/>
        <bgColor indexed="64"/>
      </patternFill>
    </fill>
    <fill>
      <patternFill patternType="solid">
        <fgColor rgb="FFFF99CC"/>
        <bgColor indexed="64"/>
      </patternFill>
    </fill>
    <fill>
      <patternFill patternType="solid">
        <fgColor theme="0" tint="-4.9989318521683403E-2"/>
        <bgColor indexed="64"/>
      </patternFill>
    </fill>
    <fill>
      <patternFill patternType="solid">
        <fgColor theme="0" tint="-0.14999847407452621"/>
        <bgColor indexed="64"/>
      </patternFill>
    </fill>
  </fills>
  <borders count="7">
    <border>
      <left/>
      <right/>
      <top/>
      <bottom/>
      <diagonal/>
    </border>
    <border>
      <left/>
      <right/>
      <top/>
      <bottom style="thin">
        <color indexed="64"/>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1">
    <xf numFmtId="0" fontId="0" fillId="0" borderId="0" xfId="0"/>
    <xf numFmtId="0" fontId="0" fillId="2" borderId="0" xfId="0" applyFill="1" applyAlignment="1">
      <alignment horizontal="center"/>
    </xf>
    <xf numFmtId="0" fontId="0" fillId="2" borderId="0" xfId="0" applyFill="1"/>
    <xf numFmtId="0" fontId="0" fillId="2" borderId="0" xfId="0" applyFill="1" applyAlignment="1">
      <alignment horizontal="left" indent="1"/>
    </xf>
    <xf numFmtId="0" fontId="3" fillId="2" borderId="0" xfId="0" applyFont="1" applyFill="1" applyAlignment="1">
      <alignment horizontal="left" vertical="center"/>
    </xf>
    <xf numFmtId="164" fontId="4" fillId="2" borderId="0" xfId="0" applyNumberFormat="1" applyFont="1" applyFill="1" applyAlignment="1">
      <alignment horizontal="center" vertical="center"/>
    </xf>
    <xf numFmtId="165" fontId="4" fillId="2" borderId="0" xfId="2" applyNumberFormat="1" applyFont="1" applyFill="1" applyBorder="1" applyAlignment="1">
      <alignment vertical="center"/>
    </xf>
    <xf numFmtId="0" fontId="0" fillId="2" borderId="0" xfId="0" applyFill="1" applyAlignment="1">
      <alignment horizontal="right"/>
    </xf>
    <xf numFmtId="164" fontId="5" fillId="2" borderId="0" xfId="0" applyNumberFormat="1" applyFont="1" applyFill="1" applyAlignment="1">
      <alignment horizontal="center" vertical="center"/>
    </xf>
    <xf numFmtId="0" fontId="6" fillId="2" borderId="0" xfId="0" applyFont="1" applyFill="1" applyAlignment="1">
      <alignment vertical="center"/>
    </xf>
    <xf numFmtId="165" fontId="4" fillId="2" borderId="0" xfId="2" applyNumberFormat="1" applyFont="1" applyFill="1" applyBorder="1" applyAlignment="1">
      <alignment horizontal="center" vertical="center"/>
    </xf>
    <xf numFmtId="0" fontId="3" fillId="2" borderId="0" xfId="0" applyFont="1" applyFill="1" applyAlignment="1">
      <alignment vertical="center"/>
    </xf>
    <xf numFmtId="0" fontId="3" fillId="2" borderId="0" xfId="0" applyFont="1" applyFill="1" applyAlignment="1">
      <alignment horizontal="right" vertical="center"/>
    </xf>
    <xf numFmtId="0" fontId="7" fillId="2" borderId="0" xfId="0" applyFont="1" applyFill="1" applyAlignment="1">
      <alignment vertical="center"/>
    </xf>
    <xf numFmtId="0" fontId="6" fillId="2" borderId="1" xfId="0" applyFont="1" applyFill="1" applyBorder="1" applyAlignment="1">
      <alignment vertical="center"/>
    </xf>
    <xf numFmtId="164" fontId="4" fillId="2" borderId="1" xfId="0" applyNumberFormat="1" applyFont="1" applyFill="1" applyBorder="1" applyAlignment="1">
      <alignment horizontal="center" vertical="center"/>
    </xf>
    <xf numFmtId="165" fontId="4" fillId="2" borderId="1" xfId="2" applyNumberFormat="1" applyFont="1" applyFill="1" applyBorder="1" applyAlignment="1">
      <alignment vertical="center"/>
    </xf>
    <xf numFmtId="165" fontId="4" fillId="2" borderId="1" xfId="2" applyNumberFormat="1"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right" vertical="center"/>
    </xf>
    <xf numFmtId="164" fontId="5" fillId="2" borderId="1" xfId="0" applyNumberFormat="1" applyFont="1" applyFill="1" applyBorder="1" applyAlignment="1">
      <alignment horizontal="center" vertical="center"/>
    </xf>
    <xf numFmtId="0" fontId="8" fillId="2" borderId="0" xfId="0" applyFont="1" applyFill="1" applyAlignment="1">
      <alignment vertical="center"/>
    </xf>
    <xf numFmtId="0" fontId="9" fillId="4" borderId="2" xfId="0" applyFont="1" applyFill="1" applyBorder="1" applyAlignment="1">
      <alignment horizontal="center" vertical="center"/>
    </xf>
    <xf numFmtId="0" fontId="9" fillId="4" borderId="2" xfId="0" applyFont="1" applyFill="1" applyBorder="1" applyAlignment="1">
      <alignment vertical="center"/>
    </xf>
    <xf numFmtId="0" fontId="9" fillId="4" borderId="3" xfId="0" applyFont="1" applyFill="1" applyBorder="1" applyAlignment="1">
      <alignment horizontal="left" vertical="center" indent="1"/>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0" xfId="0" applyFont="1" applyFill="1" applyAlignment="1">
      <alignment horizontal="center" vertical="center"/>
    </xf>
    <xf numFmtId="0" fontId="9" fillId="2" borderId="0" xfId="0" applyFont="1" applyFill="1" applyAlignment="1">
      <alignment horizontal="center" vertical="center"/>
    </xf>
    <xf numFmtId="0" fontId="9" fillId="4" borderId="2" xfId="0" applyFont="1" applyFill="1" applyBorder="1" applyAlignment="1">
      <alignment horizontal="left" vertical="center" indent="1"/>
    </xf>
    <xf numFmtId="0" fontId="0" fillId="2" borderId="0" xfId="0" applyFill="1" applyAlignment="1">
      <alignment vertical="center"/>
    </xf>
    <xf numFmtId="0" fontId="0" fillId="2" borderId="0" xfId="0" applyFill="1" applyAlignment="1">
      <alignment horizontal="left" vertical="center"/>
    </xf>
    <xf numFmtId="0" fontId="0" fillId="2" borderId="0" xfId="0" applyFill="1" applyAlignment="1">
      <alignment horizontal="center" vertical="center"/>
    </xf>
    <xf numFmtId="0" fontId="10" fillId="2" borderId="5" xfId="0" applyFont="1" applyFill="1" applyBorder="1" applyAlignment="1">
      <alignment horizontal="center"/>
    </xf>
    <xf numFmtId="0" fontId="11" fillId="5" borderId="5" xfId="0" applyFont="1" applyFill="1" applyBorder="1" applyAlignment="1">
      <alignment horizontal="left" vertical="center"/>
    </xf>
    <xf numFmtId="0" fontId="12" fillId="2" borderId="5" xfId="0" applyFont="1" applyFill="1" applyBorder="1" applyAlignment="1">
      <alignment horizontal="left" indent="1"/>
    </xf>
    <xf numFmtId="3" fontId="10" fillId="2" borderId="5" xfId="0" applyNumberFormat="1" applyFont="1" applyFill="1" applyBorder="1" applyAlignment="1">
      <alignment horizontal="center"/>
    </xf>
    <xf numFmtId="164" fontId="10" fillId="6" borderId="5" xfId="0" applyNumberFormat="1" applyFont="1" applyFill="1" applyBorder="1" applyAlignment="1">
      <alignment horizontal="center"/>
    </xf>
    <xf numFmtId="165" fontId="10" fillId="2" borderId="5" xfId="2" applyNumberFormat="1" applyFont="1" applyFill="1" applyBorder="1" applyAlignment="1">
      <alignment horizontal="center"/>
    </xf>
    <xf numFmtId="166" fontId="10" fillId="2" borderId="5" xfId="0" applyNumberFormat="1" applyFont="1" applyFill="1" applyBorder="1" applyAlignment="1">
      <alignment horizontal="center"/>
    </xf>
    <xf numFmtId="164" fontId="10" fillId="2" borderId="5" xfId="0" applyNumberFormat="1" applyFont="1" applyFill="1" applyBorder="1" applyAlignment="1">
      <alignment horizontal="center"/>
    </xf>
    <xf numFmtId="3" fontId="10" fillId="7" borderId="5" xfId="0" applyNumberFormat="1" applyFont="1" applyFill="1" applyBorder="1" applyAlignment="1">
      <alignment horizontal="center"/>
    </xf>
    <xf numFmtId="9" fontId="10" fillId="2" borderId="5" xfId="2" applyFont="1" applyFill="1" applyBorder="1" applyAlignment="1">
      <alignment horizontal="center"/>
    </xf>
    <xf numFmtId="165" fontId="10" fillId="2" borderId="0" xfId="2" applyNumberFormat="1" applyFont="1" applyFill="1" applyBorder="1" applyAlignment="1">
      <alignment horizontal="center"/>
    </xf>
    <xf numFmtId="4" fontId="10" fillId="2" borderId="5" xfId="0" applyNumberFormat="1" applyFont="1" applyFill="1" applyBorder="1" applyAlignment="1">
      <alignment horizontal="center"/>
    </xf>
    <xf numFmtId="167" fontId="10" fillId="2" borderId="5" xfId="1" applyNumberFormat="1" applyFont="1" applyFill="1" applyBorder="1" applyAlignment="1">
      <alignment horizontal="center"/>
    </xf>
    <xf numFmtId="0" fontId="10" fillId="2" borderId="5" xfId="0" applyFont="1" applyFill="1" applyBorder="1" applyAlignment="1">
      <alignment horizontal="left" indent="1"/>
    </xf>
    <xf numFmtId="9" fontId="0" fillId="2" borderId="0" xfId="0" applyNumberFormat="1" applyFill="1" applyAlignment="1">
      <alignment horizontal="center" vertical="center"/>
    </xf>
    <xf numFmtId="0" fontId="10" fillId="2" borderId="5" xfId="0" applyFont="1" applyFill="1" applyBorder="1"/>
    <xf numFmtId="0" fontId="12" fillId="8" borderId="5" xfId="0" applyFont="1" applyFill="1" applyBorder="1" applyAlignment="1">
      <alignment horizontal="left" indent="1"/>
    </xf>
    <xf numFmtId="166" fontId="10" fillId="6" borderId="5" xfId="0" applyNumberFormat="1" applyFont="1" applyFill="1" applyBorder="1" applyAlignment="1">
      <alignment horizontal="center"/>
    </xf>
    <xf numFmtId="168" fontId="10" fillId="2" borderId="5" xfId="0" applyNumberFormat="1" applyFont="1" applyFill="1" applyBorder="1" applyAlignment="1">
      <alignment horizontal="center"/>
    </xf>
    <xf numFmtId="4" fontId="10" fillId="9" borderId="5" xfId="0" applyNumberFormat="1" applyFont="1" applyFill="1" applyBorder="1" applyAlignment="1">
      <alignment horizontal="center"/>
    </xf>
    <xf numFmtId="167" fontId="10" fillId="9" borderId="5" xfId="1" applyNumberFormat="1" applyFont="1" applyFill="1" applyBorder="1" applyAlignment="1">
      <alignment horizontal="center"/>
    </xf>
    <xf numFmtId="0" fontId="10" fillId="10" borderId="5" xfId="0" applyFont="1" applyFill="1" applyBorder="1" applyAlignment="1">
      <alignment horizontal="left" indent="1"/>
    </xf>
    <xf numFmtId="0" fontId="13" fillId="10" borderId="5" xfId="0" applyFont="1" applyFill="1" applyBorder="1" applyAlignment="1">
      <alignment horizontal="center"/>
    </xf>
    <xf numFmtId="0" fontId="13" fillId="10" borderId="5" xfId="0" applyFont="1" applyFill="1" applyBorder="1"/>
    <xf numFmtId="0" fontId="13" fillId="10" borderId="5" xfId="0" applyFont="1" applyFill="1" applyBorder="1" applyAlignment="1">
      <alignment horizontal="left" indent="1"/>
    </xf>
    <xf numFmtId="3" fontId="13" fillId="10" borderId="5" xfId="0" applyNumberFormat="1" applyFont="1" applyFill="1" applyBorder="1" applyAlignment="1">
      <alignment horizontal="center"/>
    </xf>
    <xf numFmtId="164" fontId="13" fillId="10" borderId="5" xfId="0" applyNumberFormat="1" applyFont="1" applyFill="1" applyBorder="1" applyAlignment="1">
      <alignment horizontal="center"/>
    </xf>
    <xf numFmtId="165" fontId="13" fillId="10" borderId="5" xfId="2" applyNumberFormat="1" applyFont="1" applyFill="1" applyBorder="1" applyAlignment="1">
      <alignment horizontal="center"/>
    </xf>
    <xf numFmtId="166" fontId="13" fillId="10" borderId="5" xfId="0" applyNumberFormat="1" applyFont="1" applyFill="1" applyBorder="1" applyAlignment="1">
      <alignment horizontal="center"/>
    </xf>
    <xf numFmtId="9" fontId="13" fillId="10" borderId="5" xfId="2" applyFont="1" applyFill="1" applyBorder="1" applyAlignment="1">
      <alignment horizontal="center"/>
    </xf>
    <xf numFmtId="4" fontId="10" fillId="10" borderId="5" xfId="0" applyNumberFormat="1" applyFont="1" applyFill="1" applyBorder="1" applyAlignment="1">
      <alignment horizontal="center"/>
    </xf>
    <xf numFmtId="169" fontId="10" fillId="10" borderId="5" xfId="1" applyNumberFormat="1" applyFont="1" applyFill="1" applyBorder="1" applyAlignment="1">
      <alignment horizontal="center"/>
    </xf>
    <xf numFmtId="170" fontId="10" fillId="10" borderId="5" xfId="0" applyNumberFormat="1" applyFont="1" applyFill="1" applyBorder="1" applyAlignment="1">
      <alignment horizontal="center"/>
    </xf>
    <xf numFmtId="170" fontId="10" fillId="10" borderId="5" xfId="0" applyNumberFormat="1" applyFont="1" applyFill="1" applyBorder="1"/>
    <xf numFmtId="0" fontId="6" fillId="2" borderId="6" xfId="0" applyFont="1" applyFill="1" applyBorder="1" applyAlignment="1">
      <alignment vertical="center"/>
    </xf>
    <xf numFmtId="0" fontId="6" fillId="0" borderId="6" xfId="0" applyFont="1" applyBorder="1" applyAlignment="1">
      <alignment vertical="center"/>
    </xf>
    <xf numFmtId="0" fontId="0" fillId="0" borderId="0" xfId="0" applyAlignment="1">
      <alignment horizontal="center"/>
    </xf>
    <xf numFmtId="0" fontId="2" fillId="3" borderId="0" xfId="0" applyFont="1" applyFill="1" applyAlignment="1">
      <alignment horizontal="center" vertical="center"/>
    </xf>
  </cellXfs>
  <cellStyles count="3">
    <cellStyle name="Comma" xfId="1" builtinId="3"/>
    <cellStyle name="Normal" xfId="0" builtinId="0"/>
    <cellStyle name="Percent" xfId="2" builtinId="5"/>
  </cellStyles>
  <dxfs count="21">
    <dxf>
      <font>
        <color rgb="FFFF0000"/>
      </font>
      <fill>
        <patternFill>
          <fgColor theme="0"/>
        </patternFill>
      </fill>
    </dxf>
    <dxf>
      <font>
        <color rgb="FFFF0000"/>
      </font>
      <fill>
        <patternFill>
          <fgColor theme="0"/>
        </patternFill>
      </fill>
    </dxf>
    <dxf>
      <font>
        <color rgb="FFFF0000"/>
      </font>
      <fill>
        <patternFill>
          <fgColor theme="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theme="9" tint="0.59996337778862885"/>
        </patternFill>
      </fill>
    </dxf>
    <dxf>
      <fill>
        <patternFill>
          <bgColor theme="9" tint="0.59996337778862885"/>
        </patternFill>
      </fill>
    </dxf>
    <dxf>
      <fill>
        <patternFill>
          <bgColor rgb="FF92D05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theme="9" tint="0.59996337778862885"/>
        </patternFill>
      </fill>
    </dxf>
    <dxf>
      <fill>
        <patternFill>
          <bgColor theme="9" tint="0.59996337778862885"/>
        </patternFill>
      </fill>
    </dxf>
    <dxf>
      <fill>
        <patternFill>
          <bgColor rgb="FF92D050"/>
        </patternFill>
      </fill>
    </dxf>
    <dxf>
      <fill>
        <patternFill>
          <bgColor rgb="FF92D050"/>
        </patternFill>
      </fill>
    </dxf>
    <dxf>
      <font>
        <color rgb="FFFF0000"/>
      </font>
      <fill>
        <patternFill>
          <fgColor theme="0"/>
        </patternFill>
      </fill>
    </dxf>
    <dxf>
      <font>
        <color rgb="FFFF0000"/>
      </font>
      <fill>
        <patternFill>
          <fgColor theme="0"/>
        </patternFill>
      </fill>
    </dxf>
    <dxf>
      <font>
        <color rgb="FFFF0000"/>
      </font>
      <fill>
        <patternFill>
          <f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4">
  <rv s="0">
    <v>https://www.bing.com/financeapi/forcetrigger?t=ao77w7&amp;q=XLON%3aCMCX&amp;form=skydnc</v>
    <v>Learn more on Bing</v>
  </rv>
  <rv s="1">
    <v>en-GB</v>
    <v>ao77w7</v>
    <v>268435456</v>
    <v>1</v>
    <v>Powered by Refinitiv</v>
    <v>0</v>
    <v>CMC MARKETS PLC (XLON:CMCX)</v>
    <v>2</v>
    <v>3</v>
    <v>Finance</v>
    <v>4</v>
    <v>335.5</v>
    <v>183.4</v>
    <v>1.4271</v>
    <v>-14.5</v>
    <v>1.2484E-2</v>
    <v>-4.4409999999999998E-2</v>
    <v>3.895</v>
    <v>GBp</v>
    <v>CMC Markets Plc is a United Kingdom-based company, which is engaged in the online financial trading and investing businesses. The Company serves retail and institutional clients through regulated offices and branches in 12 countries with a significant presence in the United Kingdom, Australia, Germany and Singapore. Its segments include Trading and Investing. The Company offers an online and mobile platform, enabling clients to trade and invest in over 12,000 financial instruments across shares, indices, foreign currencies, commodities and treasuries through contracts for difference (CFDs), financial spread bets (in the United Kingdom and Ireland only) and, in Australia, Singapore and the United Kingdom, access stockbroking services. Its trading segment also includes the treasury management and capital markets division that invests surplus liquidity to enhance yield. The Company also extends its services to institutional partners through white label and introducing broker arrangements.</v>
    <v>1044</v>
    <v>London Stock Exchange</v>
    <v>XLON</v>
    <v>XLON</v>
    <v>133 HOUNDSDITCH, LONDON, EC3A 7BX GB</v>
    <v>324.5</v>
    <v>Investment Banking &amp; Investment Services</v>
    <v>Stock</v>
    <v>46064.696240728903</v>
    <v>0</v>
    <v>311</v>
    <v>867427900</v>
    <v>CMC MARKETS PLC</v>
    <v>CMC MARKETS PLC</v>
    <v>322</v>
    <v>13.6751</v>
    <v>326.5</v>
    <v>312</v>
    <v>315.89499999999998</v>
    <v>279815500</v>
    <v>CMCX</v>
    <v>CMC MARKETS PLC (XLON:CMCX)</v>
    <v>505568</v>
    <v>228500</v>
    <v>2004</v>
  </rv>
  <rv s="2">
    <v>1</v>
  </rv>
  <rv s="0">
    <v>https://www.bing.com/financeapi/forcetrigger?t=aod65r&amp;q=XLON%3aSAG&amp;form=skydnc</v>
    <v>Learn more on Bing</v>
  </rv>
  <rv s="3">
    <v>en-GB</v>
    <v>aod65r</v>
    <v>268435456</v>
    <v>1</v>
    <v>Powered by Refinitiv</v>
    <v>5</v>
    <v>SCIENCE GROUP PLC (XLON:SAG)</v>
    <v>2</v>
    <v>6</v>
    <v>Finance</v>
    <v>7</v>
    <v>605</v>
    <v>400</v>
    <v>0.59719999999999995</v>
    <v>2.5</v>
    <v>4.6080000000000001E-3</v>
    <v>GBp</v>
    <v>Science Group plc is an international science and technology consultancy and systems company. The Company’s segments include the Professional Services segment, Systems - Submarine Atmosphere Management segment, and the Systems - Audio Chips and Modules segment. Its Professional Services segment comprises research and development, regulatory and compliance, and defense and aerospace practices. The collaboration between the different practices is unifying the operations under the Sagentia brand of the Professional Services businesses. The Systems - Submarine Atmosphere Management segment comprises the Critical Maritime Systems and Support (CMS2) business, which designs, develops and manufactures submarine atmosphere systems for the defense sector. The Systems - Audio Chips and Modules segment comprises the Frontier Business, which is a provider of DAB/DAB+ radio semi-conductors/modules. It owns and maintains the freehold properties.</v>
    <v>541</v>
    <v>London Stock Exchange</v>
    <v>XLON</v>
    <v>XLON</v>
    <v>Harston Mill, Royston Road, CAMBRIDGE, CAMBRIDGESHIRE, CB22 7GG GB</v>
    <v>Professional &amp; Commercial Services</v>
    <v>Stock</v>
    <v>46064.679547800784</v>
    <v>3</v>
    <v>239050400</v>
    <v>SCIENCE GROUP PLC</v>
    <v>SCIENCE GROUP PLC</v>
    <v>545</v>
    <v>7.8648999999999996</v>
    <v>542.5</v>
    <v>545</v>
    <v>42908810</v>
    <v>SAG</v>
    <v>SCIENCE GROUP PLC (XLON:SAG)</v>
    <v>41138</v>
    <v>36100</v>
    <v>2008</v>
  </rv>
  <rv s="2">
    <v>4</v>
  </rv>
  <rv s="0">
    <v>https://www.bing.com/financeapi/forcetrigger?t=ao5ooc&amp;q=XLON%3aAEP&amp;form=skydnc</v>
    <v>Learn more on Bing</v>
  </rv>
  <rv s="4">
    <v>en-GB</v>
    <v>ao5ooc</v>
    <v>268435456</v>
    <v>1</v>
    <v>Powered by Refinitiv</v>
    <v>8</v>
    <v>AEP PLANTATIONS PLC (XLON:AEP)</v>
    <v>2</v>
    <v>9</v>
    <v>Finance</v>
    <v>7</v>
    <v>1535</v>
    <v>640</v>
    <v>0.17219999999999999</v>
    <v>5</v>
    <v>3.356E-3</v>
    <v>GBp</v>
    <v>AEP Plantations PLC, formerly Anglo-Eastern Plantations Plc, is a United Kingdom-based producer of palm oil and rubber with plantations across Indonesia and Malaysia. The Company operates a planted area of approximately 69,100 hectares (ha). The Company operates approximately seven palm oil mills. The Company has its assets based on geographical location, including North Sumatera, Bengkulu, Riau, Bangka, Kalimantan, Plasma and Malaysia. Its fresh fruit bunch (FFB) production in North Sumatera, which aggregates the estates of Musam Utjing, United Kingdom Indonesia Plantation, Simpang Ampat, Tasik Raja, Anak Tasik, Cahaya Pelita Andhika, and Hijau Pryan Perdana produced approximately 397,500 metric tons (mt). Its FFB production in Bengkulu, which aggregates the estates of Puding Mas (MPM) and Alno produced 179,300 mt. Its FFB production in the Riau region, comprising Bina Pitri estates, produced 111,700 mt. Its FFB production in the Bangka region, produced over 18,600 mt.</v>
    <v>15440</v>
    <v>London Stock Exchange</v>
    <v>XLON</v>
    <v>XLON</v>
    <v>Quadrant House, 6th Floor, 4 Thomas More Square, LONDON, E1W 1YW GB</v>
    <v>1515</v>
    <v>Food &amp; Tobacco</v>
    <v>Stock</v>
    <v>46064.691157407404</v>
    <v>6</v>
    <v>1475</v>
    <v>532920600</v>
    <v>AEP PLANTATIONS PLC</v>
    <v>AEP PLANTATIONS PLC</v>
    <v>1475</v>
    <v>9.1801999999999992</v>
    <v>1490</v>
    <v>1495</v>
    <v>38657660</v>
    <v>AEP</v>
    <v>AEP PLANTATIONS PLC (XLON:AEP)</v>
    <v>70156</v>
    <v>37120</v>
    <v>1985</v>
  </rv>
  <rv s="2">
    <v>7</v>
  </rv>
  <rv s="0">
    <v>https://www.bing.com/financeapi/forcetrigger?t=aofxur&amp;q=XLON%3aYU.&amp;form=skydnc</v>
    <v>Learn more on Bing</v>
  </rv>
  <rv s="4">
    <v>en-GB</v>
    <v>aofxur</v>
    <v>268435456</v>
    <v>1</v>
    <v>Powered by Refinitiv</v>
    <v>8</v>
    <v>YU GROUP PLC (XLON:YU.)</v>
    <v>2</v>
    <v>9</v>
    <v>Finance</v>
    <v>7</v>
    <v>1950</v>
    <v>1286</v>
    <v>1.3449</v>
    <v>0</v>
    <v>0</v>
    <v>GBp</v>
    <v>Yu Group PLC is a United Kingdom-based independent supplier of gas and electricity, meter asset owner, and installer of smart meters. The Company operates through three segments: Yu Retail, Yu Smart, and Metering. Yu Retail segment is engaged in the supply of electricity, gas and water to business customers in the United Kingdom. Yu Smart segment is engaged in the provision of engineering and related services to install and maintain smart and other meters, and electric vehicle (EV) charging solutions. Metering assets segment is engaged in the ownership and rental of smart metering assets. The Company serves small and medium-sized businesses, multi-site complex corporations, third party intermediaries, and other partners. Its wholly owned subsidiaries include Yu Energy Holding Limited, which is engaged in gas shipping services; Yu Energy Retail Limited, which provides the supply of energy to businesses, and Yu Water Limited, which is engaged in the supply of water to businesses.</v>
    <v>472</v>
    <v>London Stock Exchange</v>
    <v>XLON</v>
    <v>XLON</v>
    <v>2 Horizon Place, Nottingham Business Park, Mellors Way, NOTTINGHAM, NOTTINGHAMSHIRE, NG8 6PY GB</v>
    <v>1940</v>
    <v>Multiline Utilities</v>
    <v>Stock</v>
    <v>46064.69215668906</v>
    <v>9</v>
    <v>1940</v>
    <v>271234200</v>
    <v>YU GROUP PLC</v>
    <v>YU GROUP PLC</v>
    <v>1930</v>
    <v>9.1402000000000001</v>
    <v>1940</v>
    <v>1940</v>
    <v>16906070</v>
    <v>YU.</v>
    <v>YU GROUP PLC (XLON:YU.)</v>
    <v>24086</v>
    <v>42450</v>
    <v>2016</v>
  </rv>
  <rv s="2">
    <v>10</v>
  </rv>
  <rv s="0">
    <v>https://www.bing.com/financeapi/forcetrigger?t=aoawur&amp;q=XLON%3aKIE&amp;form=skydnc</v>
    <v>Learn more on Bing</v>
  </rv>
  <rv s="4">
    <v>en-GB</v>
    <v>aoawur</v>
    <v>268435456</v>
    <v>1</v>
    <v>Powered by Refinitiv</v>
    <v>8</v>
    <v>KIER GROUP PLC (XLON:KIE)</v>
    <v>2</v>
    <v>9</v>
    <v>Finance</v>
    <v>7</v>
    <v>238</v>
    <v>107.2</v>
    <v>1.3918999999999999</v>
    <v>5</v>
    <v>2.1551999999999998E-2</v>
    <v>GBp</v>
    <v>Kier Group plc is an infrastructure services, construction, and property company. The Company is a provider of infrastructure services, construction, and property development. The Company’s segments include Infrastructure Services, Construction and Property. Infrastructure Services designs, builds and maintains infrastructure for the highways, rail, aviation and ports sectors. It delivers work for National Highways, Network Rail, Transport for London and HS2 as well as a number of local and combined authorities. It also delivers long-term contracts in maintenance and capital projects to the water, nuclear and energy sectors, and the protection of habitats and communities in natural environment and waterways. The Construction segment comprises regional buildings, strategic projects, and Kier Places. The Property segment invests and develops primarily mixed-use commercial development.</v>
    <v>10361</v>
    <v>London Stock Exchange</v>
    <v>XLON</v>
    <v>XLON</v>
    <v>2Nd Floor, Optimum House, Clippers Quay, SALFORD QUAYS, M50 3XP GB</v>
    <v>238</v>
    <v>Construction &amp; Engineering</v>
    <v>Stock</v>
    <v>46064.694970115626</v>
    <v>12</v>
    <v>228</v>
    <v>958916300</v>
    <v>KIER GROUP PLC</v>
    <v>KIER GROUP PLC</v>
    <v>231</v>
    <v>18.485099999999999</v>
    <v>232</v>
    <v>237</v>
    <v>441896900</v>
    <v>KIE</v>
    <v>KIER GROUP PLC (XLON:KIE)</v>
    <v>1321992</v>
    <v>1125690</v>
    <v>1992</v>
  </rv>
  <rv s="2">
    <v>13</v>
  </rv>
  <rv s="0">
    <v>https://www.bing.com/financeapi/forcetrigger?t=aoax77&amp;q=XLON%3aKLR&amp;form=skydnc</v>
    <v>Learn more on Bing</v>
  </rv>
  <rv s="4">
    <v>en-GB</v>
    <v>aoax77</v>
    <v>268435456</v>
    <v>1</v>
    <v>Powered by Refinitiv</v>
    <v>8</v>
    <v>KELLER GROUP PLC (XLON:KLR)</v>
    <v>2</v>
    <v>9</v>
    <v>Finance</v>
    <v>7</v>
    <v>1922</v>
    <v>1222</v>
    <v>1.4552</v>
    <v>8</v>
    <v>4.202E-3</v>
    <v>GBp</v>
    <v>Keller Group plc is a United Kingdom-based geotechnical specialist contractor providing a portfolio of advanced foundation and ground improvement techniques used across the entire construction sector. The Company's geographical divisions include North America, Europe and Middle East and Asia-Pacific. Its expertise includes ground improvement, grouting, deep foundations, earth retention, marine, and instrumentation and monitoring. Its solutions include improve bearing capacity; low impact, low carbon construction; containment; excavation support; stabilization; marine structures; seepage control; slope stabilization; and monitoring. Its improve bearing capacity solution includes bearing capacity/settlement control, heave control, heavy foundations, liquefaction mitigation, re-levelling structures and underpinning. Its marine structures solution includes the design and construction of new ports, jetties and quays as well as the extension and restoration of existing structures.</v>
    <v>10000</v>
    <v>London Stock Exchange</v>
    <v>XLON</v>
    <v>XLON</v>
    <v>2 Kingdom Street, LONDON, W2 6BD GB</v>
    <v>1922</v>
    <v>Construction &amp; Engineering</v>
    <v>Stock</v>
    <v>46064.696326342186</v>
    <v>15</v>
    <v>1810</v>
    <v>1169622000</v>
    <v>KELLER GROUP PLC</v>
    <v>KELLER GROUP PLC</v>
    <v>1810</v>
    <v>9.7125000000000004</v>
    <v>1904</v>
    <v>1912</v>
    <v>70098530</v>
    <v>KLR</v>
    <v>KELLER GROUP PLC (XLON:KLR)</v>
    <v>130711</v>
    <v>162040</v>
    <v>1989</v>
  </rv>
  <rv s="2">
    <v>16</v>
  </rv>
  <rv s="0">
    <v>https://www.bing.com/financeapi/forcetrigger?t=btyoxm&amp;q=XLON%3aFRP&amp;form=skydnc</v>
    <v>Learn more on Bing</v>
  </rv>
  <rv s="4">
    <v>en-GB</v>
    <v>btyoxm</v>
    <v>268435456</v>
    <v>1</v>
    <v>Powered by Refinitiv</v>
    <v>8</v>
    <v>FRP ADVISORY GROUP PLC (XLON:FRP)</v>
    <v>2</v>
    <v>9</v>
    <v>Finance</v>
    <v>7</v>
    <v>151</v>
    <v>113.5</v>
    <v>0.43669999999999998</v>
    <v>-2.5</v>
    <v>-1.8450000000000001E-2</v>
    <v>GBp</v>
    <v>FRP Advisory Group Plc is a United Kingdom-based national specialist business advisory company. The Company offers a range of advisory services to companies, lenders, investors and other stakeholders, as well as individuals. Its restructuring advisory includes corporate financial advisory, formal insolvency appointments, informal restructuring advisory, personal insolvency and general advice to all stakeholders. Its corporate finance services include mergers and acquisitions (M&amp;A), strategic advisory and valuations, financial due diligence, capital raising, special situations M&amp;A and partial exits. Its debt advisory includes raising and refinancing debt, restructuring debt, asset based lending and corporate and leveraged debt advisory. Its forensic services include forensic investigations, compliance and risk advisory, dispute services and forensic technology. Its financial advisory includes transaction services, such as financial due diligence, lender services and governance advisory.</v>
    <v>795</v>
    <v>London Stock Exchange</v>
    <v>XLON</v>
    <v>XLON</v>
    <v>110 Cannon Street, London, EC4N 6EU GB</v>
    <v>133</v>
    <v>Professional &amp; Commercial Services</v>
    <v>Stock</v>
    <v>46064.453819444447</v>
    <v>18</v>
    <v>133</v>
    <v>343332900</v>
    <v>FRP ADVISORY GROUP PLC</v>
    <v>FRP ADVISORY GROUP PLC</v>
    <v>135.5</v>
    <v>14.657999999999999</v>
    <v>135.5</v>
    <v>133</v>
    <v>259119100</v>
    <v>FRP</v>
    <v>FRP ADVISORY GROUP PLC (XLON:FRP)</v>
    <v>349448</v>
    <v>401620</v>
    <v>2019</v>
  </rv>
  <rv s="2">
    <v>19</v>
  </rv>
  <rv s="0">
    <v>https://www.bing.com/financeapi/forcetrigger?t=c2jpm7&amp;q=XLON%3aVIC&amp;form=skydnc</v>
    <v>Learn more on Bing</v>
  </rv>
  <rv s="1">
    <v>en-GB</v>
    <v>c2jpm7</v>
    <v>268435456</v>
    <v>1</v>
    <v>Powered by Refinitiv</v>
    <v>0</v>
    <v>VICTORIAN PLUMBING GROUP PLC (XLON:VIC)</v>
    <v>2</v>
    <v>3</v>
    <v>Finance</v>
    <v>4</v>
    <v>109</v>
    <v>56.8</v>
    <v>1.1573</v>
    <v>1.8</v>
    <v>0</v>
    <v>2.0930000000000001E-2</v>
    <v>0</v>
    <v>GBp</v>
    <v>Victorian Plumbing Group plc is a United Kingdom-based bathroom retailer engaged in offering a range of over 36,000 products to business to consumer (B2C) and trade customers. The Company provides a one-stop shop solution for the entire bathroom with more than 150 own- and third-party brands across a spectrum of price points. The Company operates through two segments: Victorian Plumbing and Victoria Plum. The Victorian Plumbing bathroom collection provides a range of quality baths, pottery and brassware in a variety of designs to suit an array of settings. Its own brands include Arezzo, Brooklyn, Chatsworth, Stonehouse Studio and Bower. Its portfolio includes third party bathroom brands such as Hansgrohe and Ideal Standard, as well as niche and category-specific brands like Roman Showers. In addition, The Company stocks specialist products, including shower pumps from Salamander, plumbing components from Wirquin and tile trims from Genesis.</v>
    <v>712</v>
    <v>London Stock Exchange</v>
    <v>XLON</v>
    <v>XLON</v>
    <v>1 Sustainability Way, Farington Moss, LEYLAND, LANCASHIRE, PR26 6TB GB</v>
    <v>88</v>
    <v>Household Goods</v>
    <v>Stock</v>
    <v>46064.695359895311</v>
    <v>21</v>
    <v>85.8</v>
    <v>262963300</v>
    <v>VICTORIAN PLUMBING GROUP PLC</v>
    <v>VICTORIAN PLUMBING GROUP PLC</v>
    <v>86</v>
    <v>19.087</v>
    <v>86</v>
    <v>87.8</v>
    <v>87.8</v>
    <v>328704100</v>
    <v>VIC</v>
    <v>VICTORIAN PLUMBING GROUP PLC (XLON:VIC)</v>
    <v>241520</v>
    <v>198000</v>
    <v>2021</v>
  </rv>
  <rv s="2">
    <v>22</v>
  </rv>
  <rv s="0">
    <v>https://www.bing.com/financeapi/forcetrigger?t=aobqww&amp;q=XLON%3aMPE&amp;form=skydnc</v>
    <v>Learn more on Bing</v>
  </rv>
  <rv s="4">
    <v>en-GB</v>
    <v>aobqww</v>
    <v>268435456</v>
    <v>1</v>
    <v>Powered by Refinitiv</v>
    <v>8</v>
    <v>M.P. EVANS GROUP PLC (XLON:MPE)</v>
    <v>2</v>
    <v>9</v>
    <v>Finance</v>
    <v>7</v>
    <v>1525</v>
    <v>912</v>
    <v>0.60940000000000005</v>
    <v>145</v>
    <v>0.105072</v>
    <v>GBp</v>
    <v>M.P. Evans Group PLC is a United Kingdom-based company, which is a producer of sustainable Indonesian palm oil. The Company's segments are distinguished by location and activity: palm-oil plantations in Indonesia, property development in Malaysia, and Other. The Company's plantations are spread across five Indonesian provinces: North Sumatra, South Sumatra, Aceh, Bangka-Belitung, and East Kalimantan. It manages approximately 66,100 hectares of plantation land and 16,200 hectares managed on behalf of its scheme smallholders. It also owns six palm-oil mills. The Company's subsidiaries include M.P. Evans &amp; Co. Limited, Sungkai Holdings Limited, PT Prima Mitrajaya Mandiri, PT Gunung Pelawan Lestari, PT Bilah Plantindo, PT Evans Lestari, PT Simpang Kiri Plantation Indonesia, and others.</v>
    <v>12600</v>
    <v>London Stock Exchange</v>
    <v>XLON</v>
    <v>XLON</v>
    <v>3 Clanricarde Gardens, TUNBRIDGE WELLS, KENT, TN1 1HQ GB</v>
    <v>1525</v>
    <v>Food &amp; Tobacco</v>
    <v>Stock</v>
    <v>46064.643100508591</v>
    <v>24</v>
    <v>1370</v>
    <v>657820100</v>
    <v>M.P. EVANS GROUP PLC</v>
    <v>M.P. EVANS GROUP PLC</v>
    <v>1380</v>
    <v>10.1647</v>
    <v>1380</v>
    <v>1525</v>
    <v>52256290</v>
    <v>MPE</v>
    <v>M.P. EVANS GROUP PLC (XLON:MPE)</v>
    <v>230021</v>
    <v>82640</v>
    <v>1981</v>
  </rv>
  <rv s="2">
    <v>25</v>
  </rv>
  <rv s="0">
    <v>https://www.bing.com/financeapi/forcetrigger?t=ao9soc&amp;q=XLON%3aHTG&amp;form=skydnc</v>
    <v>Learn more on Bing</v>
  </rv>
  <rv s="4">
    <v>en-GB</v>
    <v>ao9soc</v>
    <v>268435456</v>
    <v>1</v>
    <v>Powered by Refinitiv</v>
    <v>8</v>
    <v>HUNTING PLC (XLON:HTG)</v>
    <v>2</v>
    <v>9</v>
    <v>Finance</v>
    <v>7</v>
    <v>485</v>
    <v>245</v>
    <v>1.9624999999999999</v>
    <v>8</v>
    <v>1.6823999999999999E-2</v>
    <v>GBp</v>
    <v>Hunting PLC is a United Kingdom-based global precision engineering company. The Company provides products and services for the energy, aviation, commercial space, defense, medical, and power generation sectors. The Company’s segments include Hunting Titan; North America; Subsea Technologies; Europe, Middle East and Africa (EMEA), and Asia Pacific. Its five key product groups are: Perforating Systems, OCTG, Advanced Manufacturing, Subsea, and Other Manufacturing. Its perforating systems include integrated gun systems, energetics and instruments for the energy sector. Its oil country tubular goods (OCTG) product offering includes premium connections, accessories, and tubing. Its connection technologies include SEAL-LOCK, WEDGE-LOCK, and TEC-LOCK, which address most oil and gas resource developments. Its Subsea product offering comprises three sub-groups: hydraulic couplings and valves, used within subsea tree systems, and titanium stress joints.</v>
    <v>2367</v>
    <v>London Stock Exchange</v>
    <v>XLON</v>
    <v>XLON</v>
    <v>5 Hanover Square, LONDON, W1S 1HQ GB</v>
    <v>485</v>
    <v>Oil &amp; Gas Related Equipment and Services</v>
    <v>Stock</v>
    <v>46064.691150485938</v>
    <v>27</v>
    <v>452</v>
    <v>626666100</v>
    <v>HUNTING PLC</v>
    <v>HUNTING PLC</v>
    <v>452</v>
    <v>0</v>
    <v>475.5</v>
    <v>483.5</v>
    <v>155351200</v>
    <v>HTG</v>
    <v>HUNTING PLC (XLON:HTG)</v>
    <v>809911</v>
    <v>570670</v>
    <v>1970</v>
  </rv>
  <rv s="2">
    <v>28</v>
  </rv>
  <rv s="0">
    <v>https://www.bing.com/financeapi/forcetrigger?t=aocvlh&amp;q=XLON%3aRFX&amp;form=skydnc</v>
    <v>Learn more on Bing</v>
  </rv>
  <rv s="4">
    <v>en-GB</v>
    <v>aocvlh</v>
    <v>268435456</v>
    <v>1</v>
    <v>Powered by Refinitiv</v>
    <v>8</v>
    <v>RAMSDENS HOLDINGS PLC. (XLON:RFX)</v>
    <v>2</v>
    <v>9</v>
    <v>Finance</v>
    <v>7</v>
    <v>470</v>
    <v>195.732</v>
    <v>0.55820000000000003</v>
    <v>5</v>
    <v>1.1364000000000001E-2</v>
    <v>GBp</v>
    <v>Ramsdens Holdings PLC is a United Kingdom-based diversified financial services provider and retailer. The Company operates through four segments: Foreign Currency, Purchase of Precious Metals, Pawnbroking, and Retail of Jewelry &amp; Watches. The foreign currency exchange segment comprises the sale and purchase of foreign currency notes to holidaymakers. The Pawnbroking segment consists of transaction an item of value, known as a pledge, (jewelry and watches), is held by the pawnbroker as security against a six-month loan. Through its precious metals buying service, the Company buys unwanted jewelry, gold and other precious metals from customers. The Company offers new and second-hand jewelry, including premium watches, for sale. It also offers additional services in cheque cashing, Western Union money transfer, credit broking and receiving franchise fees. It operates around 169 stores within the United Kingdom.</v>
    <v>836</v>
    <v>London Stock Exchange</v>
    <v>XLON</v>
    <v>XLON</v>
    <v>Unit 16, The Parkway Centre, Coulby Newham, MIDDLESBROUGH, NORTH YORKSHIRE, TS8 0TJ GB</v>
    <v>445</v>
    <v>Investment Banking &amp; Investment Services</v>
    <v>Stock</v>
    <v>46064.462204490628</v>
    <v>30</v>
    <v>445</v>
    <v>135894300</v>
    <v>RAMSDENS HOLDINGS PLC.</v>
    <v>RAMSDENS HOLDINGS PLC.</v>
    <v>440</v>
    <v>12.0238</v>
    <v>440</v>
    <v>445</v>
    <v>32355780</v>
    <v>RFX</v>
    <v>RAMSDENS HOLDINGS PLC. (XLON:RFX)</v>
    <v>142000</v>
    <v>167510</v>
    <v>2013</v>
  </rv>
  <rv s="2">
    <v>31</v>
  </rv>
  <rv s="0">
    <v>https://www.bing.com/financeapi/forcetrigger?t=c2rilh&amp;q=XLON%3aSSIT&amp;form=skydnc</v>
    <v>Learn more on Bing</v>
  </rv>
  <rv s="4">
    <v>en-GB</v>
    <v>c2rilh</v>
    <v>268435456</v>
    <v>1</v>
    <v>Powered by Refinitiv</v>
    <v>8</v>
    <v>SERAPHIM SPACE INVESTMENT TRUST PLC (XLON:SSIT)</v>
    <v>2</v>
    <v>9</v>
    <v>Finance</v>
    <v>7</v>
    <v>153</v>
    <v>44.8</v>
    <v>2.4005999999999998</v>
    <v>-8</v>
    <v>-5.5362999999999996E-2</v>
    <v>GBp</v>
    <v>Seraphim Space Investment Trust plc is a United Kingdom-based SpaceTech investment company. The Company's investment objective is to generate capital growth over the long term through investment in a diversified, international portfolio of predominantly early and growth stage unquoted SpaceTech businesses. The Company seeks exposure to early and growth stage privately financed SpaceTech businesses, acquiring primarily minority holdings. The Company intends to realize long-term value through exiting its investments over time. It invests internationally with a view to maintaining a diversified portfolio primarily located in the United States, United Kingdom and continental Europe. The Company's portfolio is expected to comprise 20 to 50 holdings. The Company may invest in companies, as well as other forms of legal entity, including partnerships and limited liability partnerships. The Company's investment manager is Seraphim Space Manager LLP.</v>
    <v>0</v>
    <v>London Stock Exchange</v>
    <v>XLON</v>
    <v>XLON</v>
    <v>5Th Floor, 20 Fenchurch Street, LONDON, EC3M 3BY GB</v>
    <v>146.5</v>
    <v>Collective Investments</v>
    <v>Stock</v>
    <v>46064.647400578127</v>
    <v>33</v>
    <v>135.5</v>
    <v>352239900</v>
    <v>SERAPHIM SPACE INVESTMENT TRUST PLC</v>
    <v>SERAPHIM SPACE INVESTMENT TRUST PLC</v>
    <v>144.5</v>
    <v>6.0430000000000001</v>
    <v>144.5</v>
    <v>136.5</v>
    <v>237198600</v>
    <v>SSIT</v>
    <v>SERAPHIM SPACE INVESTMENT TRUST PLC (XLON:SSIT)</v>
    <v>1061642</v>
    <v>1363270</v>
    <v>2021</v>
  </rv>
  <rv s="2">
    <v>34</v>
  </rv>
  <rv s="0">
    <v>https://www.bing.com/financeapi/forcetrigger?t=aoafbh&amp;q=XLON%3aINVP&amp;form=skydnc</v>
    <v>Learn more on Bing</v>
  </rv>
  <rv s="4">
    <v>en-GB</v>
    <v>aoafbh</v>
    <v>268435456</v>
    <v>1</v>
    <v>Powered by Refinitiv</v>
    <v>8</v>
    <v>INVESTEC PLC (XLON:INVP)</v>
    <v>2</v>
    <v>9</v>
    <v>Finance</v>
    <v>7</v>
    <v>637</v>
    <v>390</v>
    <v>1.7032</v>
    <v>-2.5</v>
    <v>-4.0029999999999996E-3</v>
    <v>GBp</v>
    <v>Investec plc is a United Kingdom-based company. The Company provides its clients with products and services in the corporate mid-market, bespoke solutions to high-net-worth clients and access to a wealth management offering through its strategic partnership with Rathbones. Its principal business divisions include Wealth &amp; Investment; Private Banking; Corporate, Investment Banking and Other, and Group Investments. Its private client offering provides transactional banking, lending, private capital, savings, and foreign exchange. Its corporate and investment banking activities include lending, advisory, hedging, savings, equity placement, and risk management services for private companies, private equity, institutions, intermediaries, and governments. This division also includes central treasury and liability management channels. Its subsidiaries are Investec Bank plc and Rathbones Group plc.</v>
    <v>8000</v>
    <v>London Stock Exchange</v>
    <v>XLON</v>
    <v>XLON</v>
    <v>2 Gresham Street, LONDON, EC2V 7QP GB</v>
    <v>625.5</v>
    <v>Investment Banking &amp; Investment Services</v>
    <v>Stock</v>
    <v>46064.691162140625</v>
    <v>36</v>
    <v>607.5</v>
    <v>5409018000</v>
    <v>INVESTEC PLC</v>
    <v>INVESTEC PLC</v>
    <v>625</v>
    <v>8.4031000000000002</v>
    <v>624.5</v>
    <v>622</v>
    <v>931954500</v>
    <v>INVP</v>
    <v>INVESTEC PLC (XLON:INVP)</v>
    <v>940871</v>
    <v>1986200</v>
    <v>1998</v>
  </rv>
  <rv s="2">
    <v>37</v>
  </rv>
  <rv s="0">
    <v>https://www.bing.com/financeapi/forcetrigger?t=ao9rm7&amp;q=XLON%3aHSBA&amp;form=skydnc</v>
    <v>Learn more on Bing</v>
  </rv>
  <rv s="1">
    <v>en-GB</v>
    <v>ao9rm7</v>
    <v>268435456</v>
    <v>1</v>
    <v>Powered by Refinitiv</v>
    <v>0</v>
    <v>HSBC HOLDINGS PLC (XLON:HSBA)</v>
    <v>2</v>
    <v>3</v>
    <v>Finance</v>
    <v>4</v>
    <v>1320.4</v>
    <v>698.7</v>
    <v>1.2427999999999999</v>
    <v>-0.6</v>
    <v>-4.9669999999999998E-4</v>
    <v>-4.594E-4</v>
    <v>-0.64839999999999998</v>
    <v>GBp</v>
    <v>HSBC Holdings plc (HSBC) is a banking and financial services company. Its business segments include Hong Kong, UK, Corporate and Institutional Banking (CIB), and International Wealth and Premier Banking (IWPB). Its Hong Kong business comprises retail banking and wealth and commercial banking of HSBC Hong Kong and Hang Seng Bank. Its UK business comprises UK retail banking and wealth (including first direct and M&amp;S Bank) and UK commercial banking, including HSBC Innovation Bank. The CIB segment is formed from the integration of its commercial banking business (outside the UK and Hong Kong) with its global banking and markets business. The IWPB segment comprises premier banking outside of Hong Kong and the UK, its global private bank, and its asset management, insurance and investment distribution businesses. Its customers worldwide through a network covering 58 countries and territories. Its customers range from individual savers and investors to companies, governments and others.</v>
    <v>212409</v>
    <v>London Stock Exchange</v>
    <v>XLON</v>
    <v>XLON</v>
    <v>8 Canada Square, LONDON, UNITED KINGDOM-NA, E14 5HQ GB</v>
    <v>1316.8</v>
    <v>Banking Services</v>
    <v>Stock</v>
    <v>46064.696205914064</v>
    <v>39</v>
    <v>1290.2</v>
    <v>208937700000</v>
    <v>HSBC HOLDINGS PLC</v>
    <v>HSBC HOLDINGS PLC</v>
    <v>1306.5999999999999</v>
    <v>18.477599999999999</v>
    <v>1306</v>
    <v>1305.4000000000001</v>
    <v>1304.7516000000001</v>
    <v>17175240000</v>
    <v>HSBA</v>
    <v>HSBC HOLDINGS PLC (XLON:HSBA)</v>
    <v>15078501</v>
    <v>19166240</v>
    <v>1959</v>
  </rv>
  <rv s="2">
    <v>40</v>
  </rv>
  <rv s="0">
    <v>https://www.bing.com/financeapi/forcetrigger?t=aodjar&amp;q=XLON%3aSGLN&amp;form=skydnc</v>
    <v>Learn more on Bing</v>
  </rv>
  <rv s="5">
    <v>en-GB</v>
    <v>aodjar</v>
    <v>268435456</v>
    <v>1</v>
    <v>Powered by Refinitiv</v>
    <v>10</v>
    <v>ISHARES PHYSICAL GOLD ETC (XLON:SGLN)</v>
    <v>11</v>
    <v>12</v>
    <v>Finance</v>
    <v>13</v>
    <v>7793</v>
    <v>2136.299</v>
    <v>97</v>
    <v>-4.1699E-2</v>
    <v>1.3608E-2</v>
    <v>-301.27600000000001</v>
    <v>GBp</v>
    <v>London Stock Exchange</v>
    <v>XLON</v>
    <v>7254</v>
    <v>ETF</v>
    <v>46064.691002337502</v>
    <v>42</v>
    <v>7153</v>
    <v>ISHARES PHYSICAL GOLD ETC</v>
    <v>7176</v>
    <v>7128</v>
    <v>7225</v>
    <v>6923.7240000000002</v>
    <v>SGLN</v>
    <v>ISHARES PHYSICAL GOLD ETC (XLON:SGLN)</v>
    <v>522495</v>
  </rv>
  <rv s="2">
    <v>43</v>
  </rv>
  <rv s="0">
    <v>https://www.bing.com/financeapi/forcetrigger?t=aof9xm&amp;q=XLON%3aVUSA&amp;form=skydnc</v>
    <v>Learn more on Bing</v>
  </rv>
  <rv s="6">
    <v>en-GB</v>
    <v>aof9xm</v>
    <v>268435456</v>
    <v>1</v>
    <v>Powered by Refinitiv</v>
    <v>14</v>
    <v>S&amp;P 500 UCITS ETF USD D (XLON:VUSA)</v>
    <v>11</v>
    <v>15</v>
    <v>Finance</v>
    <v>13</v>
    <v>107.01</v>
    <v>70.599999999999994</v>
    <v>0.99980000000000002</v>
    <v>-0.16500000000000001</v>
    <v>-3.9160000000000002E-3</v>
    <v>-1.707E-3</v>
    <v>-0.37790000000000001</v>
    <v>GBP</v>
    <v>London Stock Exchange</v>
    <v>XLON</v>
    <v>7.000000000000001E-4</v>
    <v>97.12</v>
    <v>ETF</v>
    <v>46064.690988448434</v>
    <v>45</v>
    <v>95.987499999999997</v>
    <v>49903795495</v>
    <v>S&amp;P 500 UCITS ETF USD D</v>
    <v>96.467500000000001</v>
    <v>96.674999999999997</v>
    <v>96.51</v>
    <v>96.132099999999994</v>
    <v>VUSA</v>
    <v>S&amp;P 500 UCITS ETF USD D (XLON:VUSA)</v>
    <v>353611</v>
  </rv>
  <rv s="2">
    <v>46</v>
  </rv>
  <rv s="0">
    <v>https://www.bing.com/financeapi/forcetrigger?t=aod62w&amp;q=XLON%3aSAFE&amp;form=skydnc</v>
    <v>Learn more on Bing</v>
  </rv>
  <rv s="4">
    <v>en-GB</v>
    <v>aod62w</v>
    <v>268435456</v>
    <v>1</v>
    <v>Powered by Refinitiv</v>
    <v>8</v>
    <v>SAFESTORE HOLDINGS PLC (XLON:SAFE)</v>
    <v>2</v>
    <v>9</v>
    <v>Finance</v>
    <v>7</v>
    <v>849.5</v>
    <v>525.5</v>
    <v>1.4072</v>
    <v>1.5</v>
    <v>1.8890000000000001E-3</v>
    <v>GBp</v>
    <v>Safestore Holdings plc is a United Kingdom-based self-storage company. The Company is engaged in the provision of self-storage accommodation and related services. The Company's segments include United Kingdom, Paris in France, and Expansion Markets (Spain, Belgium, the Netherlands and Germany). It has approximately 205 stores, comprising 139 in the United Kingdom (including 78 in London and the Southeast with the remainder in key metropolitan areas such as Manchester, Birmingham, Glasgow, Edinburgh, Liverpool, Sheffield, Leeds, Newcastle, and Bristol), 30 in the Paris region, 16 in Spain, 14 in the Netherlands and six in Belgium. In addition, it operates seven stores in Germany under a Joint Venture agreement with Carlyle and 10 stores (and two under development) in Italy under a Joint Venture agreement with Nuveen. It has significant numbers of sites inside the M25, United Kingdom and central Paris, France. It provides storage to both personal and business customers.</v>
    <v>800</v>
    <v>London Stock Exchange</v>
    <v>XLON</v>
    <v>XLON</v>
    <v>Britannic House, Stirling Way, BOREHAMWOOD, HERTFORDSHIRE, WD6 2BT GB</v>
    <v>802</v>
    <v>Residential &amp; Commercial REIT</v>
    <v>Stock</v>
    <v>46064.691250034375</v>
    <v>48</v>
    <v>782.5</v>
    <v>1676915000</v>
    <v>SAFESTORE HOLDINGS PLC</v>
    <v>SAFESTORE HOLDINGS PLC</v>
    <v>797</v>
    <v>15.641</v>
    <v>794</v>
    <v>795.5</v>
    <v>218490500</v>
    <v>SAFE</v>
    <v>SAFESTORE HOLDINGS PLC (XLON:SAFE)</v>
    <v>237710</v>
    <v>421150</v>
    <v>2003</v>
  </rv>
  <rv s="2">
    <v>49</v>
  </rv>
  <rv s="0">
    <v>https://www.bing.com/financeapi/forcetrigger?t=aocwkr&amp;q=XLON%3aRIO&amp;form=skydnc</v>
    <v>Learn more on Bing</v>
  </rv>
  <rv s="4">
    <v>en-GB</v>
    <v>aocwkr</v>
    <v>268435456</v>
    <v>1</v>
    <v>Powered by Refinitiv</v>
    <v>8</v>
    <v>RIO TINTO PLC (XLON:RIO)</v>
    <v>2</v>
    <v>9</v>
    <v>Finance</v>
    <v>7</v>
    <v>7320</v>
    <v>4024.5</v>
    <v>1.0652999999999999</v>
    <v>196</v>
    <v>2.7671999999999999E-2</v>
    <v>GBp</v>
    <v>Rio Tinto plc is a United Kingdom-based mining and materials company. It operates in over 35 countries, and its portfolio includes iron ore, copper, aluminum and a range of other minerals and materials. Its segments include Iron Ore, Aluminum, Copper, and Minerals. The Iron Ore segment includes iron ore mining and salt and gypsum production in Western Australia. Its iron ore operations in Pilbara comprise an integrated network of over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v>
    <v>59594</v>
    <v>London Stock Exchange</v>
    <v>XLON</v>
    <v>XLON</v>
    <v>6 St James's Square, LONDON, SW1Y 4AD GB</v>
    <v>7320</v>
    <v>Metals &amp; Mining</v>
    <v>Stock</v>
    <v>46064.654888425779</v>
    <v>51</v>
    <v>7185</v>
    <v>105195600000</v>
    <v>RIO TINTO PLC</v>
    <v>RIO TINTO PLC</v>
    <v>7194</v>
    <v>15.7256</v>
    <v>7083</v>
    <v>7279</v>
    <v>1625822000</v>
    <v>RIO</v>
    <v>RIO TINTO PLC (XLON:RIO)</v>
    <v>2506609</v>
    <v>4140570</v>
    <v>1962</v>
  </rv>
  <rv s="2">
    <v>52</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High"/>
    <k n="Instrument type" t="s"/>
    <k n="Last trade time"/>
    <k n="LearnMoreOnLink" t="r"/>
    <k n="Low"/>
    <k n="Name" t="s"/>
    <k n="Open"/>
    <k n="Previous close"/>
    <k n="Price"/>
    <k n="Price (Extended hours)"/>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s>
</rvStructures>
</file>

<file path=xl/richData/rdsupportingpropertybag.xml><?xml version="1.0" encoding="utf-8"?>
<supportingPropertyBags xmlns="http://schemas.microsoft.com/office/spreadsheetml/2017/richdata2">
  <spbArrays count="5">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Change (%)</v>
      <v t="s">Change % (Extended hours)</v>
      <v t="s">Currency</v>
      <v t="s">Previous close</v>
      <v t="s">Open</v>
      <v t="s">High</v>
      <v t="s">Low</v>
      <v t="s">52 week high</v>
      <v t="s">52 week low</v>
      <v t="s">Volume</v>
      <v t="s">Instrument type</v>
      <v t="s">_Flags</v>
      <v t="s">UniqueName</v>
      <v t="s">_DisplayString</v>
      <v t="s">LearnMoreOnLink</v>
      <v t="s">%ProviderInfo</v>
    </a>
    <a count="36">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Market cap</v>
      <v t="s">Beta</v>
      <v t="s">Instrument type</v>
      <v t="s">_Flags</v>
      <v t="s">UniqueName</v>
      <v t="s">_DisplayString</v>
      <v t="s">LearnMoreOnLink</v>
      <v t="s">%ProviderInfo</v>
    </a>
  </spbArrays>
  <spbData count="16">
    <spb s="0">
      <v>0</v>
      <v>Name</v>
      <v>LearnMoreOnLink</v>
    </spb>
    <spb s="1">
      <v>0</v>
      <v>0</v>
      <v>0</v>
    </spb>
    <spb s="2">
      <v>1</v>
      <v>1</v>
      <v>1</v>
      <v>1</v>
    </spb>
    <spb s="3">
      <v>1</v>
      <v>2</v>
      <v>2</v>
      <v>1</v>
      <v>3</v>
      <v>1</v>
      <v>1</v>
      <v>1</v>
      <v>4</v>
      <v>4</v>
      <v>5</v>
      <v>6</v>
      <v>1</v>
      <v>1</v>
      <v>1</v>
      <v>4</v>
      <v>7</v>
      <v>8</v>
      <v>9</v>
      <v>4</v>
      <v>1</v>
      <v>1</v>
      <v>5</v>
    </spb>
    <spb s="4">
      <v>at close</v>
      <v>from previous close</v>
      <v>from previous close</v>
      <v>LSE</v>
      <v>GMT</v>
      <v>Delayed 15 minutes</v>
      <v>from close</v>
      <v>from close</v>
    </spb>
    <spb s="0">
      <v>1</v>
      <v>Name</v>
      <v>LearnMoreOnLink</v>
    </spb>
    <spb s="5">
      <v>2</v>
      <v>2</v>
      <v>3</v>
      <v>1</v>
      <v>1</v>
      <v>1</v>
      <v>4</v>
      <v>4</v>
      <v>5</v>
      <v>6</v>
      <v>1</v>
      <v>1</v>
      <v>1</v>
      <v>4</v>
      <v>7</v>
      <v>8</v>
      <v>9</v>
      <v>4</v>
    </spb>
    <spb s="6">
      <v>Delayed 15 minutes</v>
      <v>from previous close</v>
      <v>from previous close</v>
      <v>LSE</v>
      <v>GMT</v>
    </spb>
    <spb s="0">
      <v>2</v>
      <v>Name</v>
      <v>LearnMoreOnLink</v>
    </spb>
    <spb s="7">
      <v>1</v>
      <v>2</v>
      <v>2</v>
      <v>1</v>
      <v>3</v>
      <v>1</v>
      <v>1</v>
      <v>1</v>
      <v>4</v>
      <v>4</v>
      <v>5</v>
      <v>6</v>
      <v>1</v>
      <v>1</v>
      <v>1</v>
      <v>4</v>
      <v>7</v>
      <v>8</v>
      <v>9</v>
      <v>4</v>
    </spb>
    <spb s="0">
      <v>3</v>
      <v>Name</v>
      <v>LearnMoreOnLink</v>
    </spb>
    <spb s="8">
      <v>1</v>
      <v>1</v>
      <v>1</v>
    </spb>
    <spb s="9">
      <v>1</v>
      <v>1</v>
      <v>3</v>
      <v>1</v>
      <v>1</v>
      <v>1</v>
      <v>4</v>
      <v>5</v>
      <v>1</v>
      <v>1</v>
      <v>1</v>
      <v>7</v>
      <v>9</v>
      <v>1</v>
      <v>1</v>
      <v>5</v>
    </spb>
    <spb s="10">
      <v>at close</v>
      <v>from previous close</v>
      <v>LSE</v>
      <v>from previous close</v>
      <v>GMT</v>
      <v>Delayed 15 minutes</v>
      <v>from close</v>
      <v>from close</v>
    </spb>
    <spb s="0">
      <v>4</v>
      <v>Name</v>
      <v>LearnMoreOnLink</v>
    </spb>
    <spb s="11">
      <v>10</v>
      <v>2</v>
      <v>10</v>
      <v>3</v>
      <v>10</v>
      <v>10</v>
      <v>10</v>
      <v>4</v>
      <v>5</v>
      <v>6</v>
      <v>10</v>
      <v>10</v>
      <v>5</v>
      <v>10</v>
      <v>7</v>
      <v>9</v>
      <v>10</v>
      <v>10</v>
      <v>5</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E" t="i"/>
    <k n="Beta"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UniqueName" t="spb"/>
    <k n="`%ProviderInfo" t="spb"/>
    <k n="LearnMoreOnLink" t="spb"/>
  </s>
  <s>
    <k n="Low" t="i"/>
    <k n="High" t="i"/>
    <k n="Name" t="i"/>
    <k n="Open" t="i"/>
    <k n="Price" t="i"/>
    <k n="Change" t="i"/>
    <k n="Volume" t="i"/>
    <k n="Change (%)" t="i"/>
    <k n="52 week low" t="i"/>
    <k n="52 week high" t="i"/>
    <k n="Previous clos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Low" t="i"/>
    <k n="Beta" t="i"/>
    <k n="High" t="i"/>
    <k n="Name" t="i"/>
    <k n="Open" t="i"/>
    <k n="Price" t="i"/>
    <k n="Change" t="i"/>
    <k n="Volume" t="i"/>
    <k n="Change (%)" t="i"/>
    <k n="Market cap" t="i"/>
    <k n="52 week low" t="i"/>
    <k n="52 week high" t="i"/>
    <k n="Expense ratio" t="i"/>
    <k n="Previous close" t="i"/>
    <k n="Last trade time" t="i"/>
    <k n="`%EntityServiceId"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35" formatCode="_-* #,##0.00_-;\-* #,##0.00_-;_-* &quot;-&quot;??_-;_-@_-"/>
    </x:dxf>
    <x:dxf>
      <x:numFmt numFmtId="4" formatCode="#,##0.00"/>
    </x:dxf>
    <x:dxf>
      <x:numFmt numFmtId="3" formatCode="#,##0"/>
    </x:dxf>
    <x:dxf>
      <x:numFmt numFmtId="14" formatCode="0.00%"/>
    </x:dxf>
    <x:dxf>
      <x:numFmt numFmtId="0" formatCode="General"/>
    </x:dxf>
    <x:dxf>
      <x:numFmt numFmtId="27" formatCode="dd/mm/yyyy\ hh:mm"/>
    </x:dxf>
    <x:dxf>
      <x:numFmt numFmtId="1" formatCode="0"/>
    </x:dxf>
    <x:dxf>
      <x:numFmt numFmtId="2" formatCode="0.00"/>
    </x:dxf>
  </dxfs>
  <richProperties>
    <rPr n="NumberFormat" t="s"/>
    <rPr n="IsTitleField" t="b"/>
  </richProperties>
  <richStyles>
    <rSty dxfid="0">
      <rpv i="0">_(* #,##0.00_);_(* (#,##0.00);_(* "-"??_);_(@_)</rpv>
    </rSty>
    <rSty dxfid="1">
      <rpv i="0">#,##0.00</rpv>
    </rSty>
    <rSty>
      <rpv i="1">1</rpv>
    </rSty>
    <rSty dxfid="2">
      <rpv i="0">#,##0</rpv>
    </rSty>
    <rSty dxfid="3"/>
    <rSty dxfid="4">
      <rpv i="0">_-[$£-en-GB]* #,##0_-;-[$£-en-GB]* #,##0_-;_-[$£-en-GB]* "-"_-;_-@_-</rpv>
    </rSty>
    <rSty dxfid="5"/>
    <rSty dxfid="6">
      <rpv i="0">0</rpv>
    </rSty>
    <rSty dxfid="7">
      <rpv i="0">0.00</rpv>
    </rSty>
    <rSty dxfid="4">
      <rpv i="0">_-[$£-en-GB]* #,##0.00_-;-[$£-en-GB]* #,##0.00_-;_-[$£-en-GB]*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8211-77FD-475F-B071-C6572ABC633D}">
  <sheetPr>
    <tabColor theme="3"/>
    <pageSetUpPr fitToPage="1"/>
  </sheetPr>
  <dimension ref="B1:AH51"/>
  <sheetViews>
    <sheetView tabSelected="1" zoomScale="75" zoomScaleNormal="59" zoomScaleSheetLayoutView="76" workbookViewId="0">
      <pane xSplit="4" ySplit="5" topLeftCell="E6" activePane="bottomRight" state="frozen"/>
      <selection pane="topRight" activeCell="E1" sqref="E1"/>
      <selection pane="bottomLeft" activeCell="A3" sqref="A3"/>
      <selection pane="bottomRight" activeCell="E6" sqref="E6"/>
    </sheetView>
  </sheetViews>
  <sheetFormatPr defaultRowHeight="14.5" x14ac:dyDescent="0.35"/>
  <cols>
    <col min="1" max="1" width="1.81640625" style="2" customWidth="1"/>
    <col min="2" max="2" width="8.7265625" style="1"/>
    <col min="3" max="3" width="48" style="2" hidden="1" customWidth="1"/>
    <col min="4" max="4" width="36.08984375" style="3" customWidth="1"/>
    <col min="5" max="7" width="11.81640625" style="1" customWidth="1"/>
    <col min="8" max="14" width="13.26953125" style="1" customWidth="1"/>
    <col min="15" max="16" width="14.54296875" style="1" customWidth="1"/>
    <col min="17" max="17" width="11.81640625" style="1" customWidth="1"/>
    <col min="18" max="20" width="14.54296875" style="1" customWidth="1"/>
    <col min="21" max="21" width="15.7265625" style="1" customWidth="1"/>
    <col min="22" max="22" width="12.1796875" style="1" customWidth="1"/>
    <col min="23" max="23" width="16.1796875" style="1" customWidth="1"/>
    <col min="24" max="24" width="14.54296875" style="1" customWidth="1"/>
    <col min="25" max="25" width="1.81640625" style="1" customWidth="1"/>
    <col min="26" max="26" width="13.26953125" style="69" customWidth="1"/>
    <col min="27" max="27" width="13.36328125" style="1" bestFit="1" customWidth="1"/>
    <col min="28" max="29" width="13.26953125" style="1" customWidth="1"/>
    <col min="30" max="30" width="38.6328125" style="3" customWidth="1"/>
    <col min="31" max="32" width="8.7265625" style="2"/>
    <col min="33" max="33" width="14" style="2" customWidth="1"/>
    <col min="34" max="34" width="12.1796875" style="2" bestFit="1" customWidth="1"/>
    <col min="35" max="16384" width="8.7265625" style="2"/>
  </cols>
  <sheetData>
    <row r="1" spans="2:34" ht="21" x14ac:dyDescent="0.35">
      <c r="G1" s="70" t="s">
        <v>0</v>
      </c>
      <c r="H1" s="70"/>
      <c r="J1" s="70" t="s">
        <v>1</v>
      </c>
      <c r="K1" s="70"/>
      <c r="M1" s="70" t="s">
        <v>2</v>
      </c>
      <c r="N1" s="70"/>
      <c r="P1" s="4" t="s">
        <v>3</v>
      </c>
      <c r="Q1" s="5">
        <f>SUMIF(Q6:Q21,"&gt;0",Q6:Q21)+SUMIF(Q27:Q32,"&gt;0",Q27:Q32)</f>
        <v>2276.3059659999999</v>
      </c>
      <c r="R1" s="6">
        <f>Q1/G2</f>
        <v>3.7851950839312073E-2</v>
      </c>
      <c r="U1" s="4" t="s">
        <v>3</v>
      </c>
      <c r="V1" s="5">
        <f ca="1">SUMIF(V6:V21,"&gt;0",V6:V21)+SUMIF(V27:V32,"&gt;0",V27:V32)</f>
        <v>1985.2847867000012</v>
      </c>
      <c r="W1" s="7" t="s">
        <v>4</v>
      </c>
      <c r="X1" s="8">
        <f ca="1">Q1-V1</f>
        <v>291.02117929999872</v>
      </c>
      <c r="Z1" s="1"/>
    </row>
    <row r="2" spans="2:34" s="13" customFormat="1" ht="27" customHeight="1" x14ac:dyDescent="0.35">
      <c r="B2" s="9"/>
      <c r="C2" s="9"/>
      <c r="D2" s="9"/>
      <c r="E2" s="9"/>
      <c r="F2" s="9"/>
      <c r="G2" s="5">
        <f>SUM(G22,G34)</f>
        <v>60137.084496999996</v>
      </c>
      <c r="H2" s="5">
        <f ca="1">SUM(H22,H34)</f>
        <v>66097.882719999994</v>
      </c>
      <c r="I2" s="9"/>
      <c r="J2" s="5">
        <f ca="1">SUM(J22,J34)</f>
        <v>5799.8282229999995</v>
      </c>
      <c r="K2" s="6">
        <f ca="1">J2/G2</f>
        <v>9.6443455340594869E-2</v>
      </c>
      <c r="L2" s="9"/>
      <c r="M2" s="10">
        <f ca="1">N2/G2</f>
        <v>1.251174412805766E-2</v>
      </c>
      <c r="N2" s="5">
        <f ca="1">SUM(N22,N34)</f>
        <v>752.419813833847</v>
      </c>
      <c r="O2" s="9"/>
      <c r="P2" s="11" t="s">
        <v>5</v>
      </c>
      <c r="Q2" s="5">
        <f>SUM(Q22,Q34)</f>
        <v>-3421.2560184500007</v>
      </c>
      <c r="R2" s="6">
        <f>Q2/G2</f>
        <v>-5.6890952514012778E-2</v>
      </c>
      <c r="S2" s="9"/>
      <c r="T2" s="9"/>
      <c r="U2" s="11" t="s">
        <v>5</v>
      </c>
      <c r="V2" s="5">
        <f ca="1">SUM(V22,V34)</f>
        <v>-3712.2771977499997</v>
      </c>
      <c r="W2" s="12" t="s">
        <v>4</v>
      </c>
      <c r="X2" s="8">
        <f ca="1">Q2-V2</f>
        <v>291.02117929999895</v>
      </c>
      <c r="Y2" s="9"/>
      <c r="Z2" s="9"/>
      <c r="AA2" s="9"/>
      <c r="AB2" s="9"/>
      <c r="AC2" s="9"/>
      <c r="AD2" s="9"/>
    </row>
    <row r="3" spans="2:34" s="13" customFormat="1" ht="27" customHeight="1" x14ac:dyDescent="0.35">
      <c r="B3" s="14" t="s">
        <v>6</v>
      </c>
      <c r="C3" s="14"/>
      <c r="D3" s="14"/>
      <c r="E3" s="14"/>
      <c r="F3" s="14"/>
      <c r="G3" s="15"/>
      <c r="H3" s="15"/>
      <c r="I3" s="14"/>
      <c r="J3" s="15"/>
      <c r="K3" s="16"/>
      <c r="L3" s="14"/>
      <c r="M3" s="17"/>
      <c r="N3" s="15"/>
      <c r="O3" s="14"/>
      <c r="P3" s="18"/>
      <c r="Q3" s="15"/>
      <c r="R3" s="16"/>
      <c r="S3" s="14"/>
      <c r="T3" s="14"/>
      <c r="U3" s="18"/>
      <c r="V3" s="15"/>
      <c r="W3" s="19"/>
      <c r="X3" s="20"/>
      <c r="Y3" s="14"/>
      <c r="Z3" s="14"/>
      <c r="AA3" s="14"/>
      <c r="AB3" s="14"/>
      <c r="AC3" s="14"/>
      <c r="AD3" s="14"/>
    </row>
    <row r="4" spans="2:34" s="13" customFormat="1" ht="27" customHeight="1" x14ac:dyDescent="0.35">
      <c r="B4" s="9"/>
      <c r="C4" s="9"/>
      <c r="D4" s="9"/>
      <c r="E4" s="9"/>
      <c r="F4" s="9"/>
      <c r="G4" s="5"/>
      <c r="H4" s="5"/>
      <c r="I4" s="9"/>
      <c r="J4" s="5"/>
      <c r="K4" s="6"/>
      <c r="L4" s="9"/>
      <c r="M4" s="10"/>
      <c r="N4" s="5"/>
      <c r="O4" s="9"/>
      <c r="P4" s="11"/>
      <c r="Q4" s="5"/>
      <c r="R4" s="6"/>
      <c r="S4" s="9"/>
      <c r="T4" s="9"/>
      <c r="U4" s="11"/>
      <c r="V4" s="5"/>
      <c r="W4" s="12"/>
      <c r="X4" s="8"/>
      <c r="Y4" s="9"/>
      <c r="Z4" s="9"/>
      <c r="AA4" s="9"/>
      <c r="AB4" s="9"/>
      <c r="AC4" s="9"/>
      <c r="AD4" s="9"/>
      <c r="AG4" s="21" t="s">
        <v>7</v>
      </c>
    </row>
    <row r="5" spans="2:34" s="30" customFormat="1" ht="26.5" customHeight="1" x14ac:dyDescent="0.35">
      <c r="B5" s="22" t="s">
        <v>8</v>
      </c>
      <c r="C5" s="23" t="s">
        <v>9</v>
      </c>
      <c r="D5" s="24" t="s">
        <v>9</v>
      </c>
      <c r="E5" s="22" t="s">
        <v>10</v>
      </c>
      <c r="F5" s="22" t="s">
        <v>11</v>
      </c>
      <c r="G5" s="22" t="s">
        <v>12</v>
      </c>
      <c r="H5" s="22" t="s">
        <v>13</v>
      </c>
      <c r="I5" s="22" t="s">
        <v>14</v>
      </c>
      <c r="J5" s="25" t="s">
        <v>1</v>
      </c>
      <c r="K5" s="25" t="s">
        <v>15</v>
      </c>
      <c r="L5" s="22" t="s">
        <v>16</v>
      </c>
      <c r="M5" s="26" t="s">
        <v>17</v>
      </c>
      <c r="N5" s="26" t="s">
        <v>18</v>
      </c>
      <c r="O5" s="22" t="s">
        <v>19</v>
      </c>
      <c r="P5" s="22" t="s">
        <v>20</v>
      </c>
      <c r="Q5" s="22" t="s">
        <v>21</v>
      </c>
      <c r="R5" s="22" t="s">
        <v>22</v>
      </c>
      <c r="S5" s="22" t="s">
        <v>23</v>
      </c>
      <c r="T5" s="22" t="s">
        <v>24</v>
      </c>
      <c r="U5" s="22" t="s">
        <v>25</v>
      </c>
      <c r="V5" s="22" t="s">
        <v>26</v>
      </c>
      <c r="W5" s="22" t="s">
        <v>27</v>
      </c>
      <c r="X5" s="27" t="s">
        <v>28</v>
      </c>
      <c r="Y5" s="28"/>
      <c r="Z5" s="25" t="s">
        <v>29</v>
      </c>
      <c r="AA5" s="22" t="s">
        <v>30</v>
      </c>
      <c r="AB5" s="22" t="s">
        <v>31</v>
      </c>
      <c r="AC5" s="22" t="s">
        <v>32</v>
      </c>
      <c r="AD5" s="29" t="s">
        <v>33</v>
      </c>
      <c r="AG5" s="31" t="s">
        <v>34</v>
      </c>
      <c r="AH5" s="32" t="s">
        <v>35</v>
      </c>
    </row>
    <row r="6" spans="2:34" x14ac:dyDescent="0.35">
      <c r="B6" s="33" t="s">
        <v>36</v>
      </c>
      <c r="C6" s="34" t="e" vm="1">
        <v>#VALUE!</v>
      </c>
      <c r="D6" s="35" t="str" cm="1">
        <f t="array" aca="1" ref="D6" ca="1">_FV(C6,"Official name",TRUE)</f>
        <v>CMC MARKETS PLC</v>
      </c>
      <c r="E6" s="36">
        <v>945</v>
      </c>
      <c r="F6" s="36">
        <v>316</v>
      </c>
      <c r="G6" s="36">
        <f t="shared" ref="G6:G21" si="0">F6*E6/100</f>
        <v>2986.2</v>
      </c>
      <c r="H6" s="36">
        <f t="shared" ref="H6:H21" ca="1" si="1">I6*E6/100</f>
        <v>2948.4</v>
      </c>
      <c r="I6" s="36" cm="1">
        <f t="array" aca="1" ref="I6" ca="1">_FV(C6,"Price")</f>
        <v>312</v>
      </c>
      <c r="J6" s="37">
        <f t="shared" ref="J6:J21" ca="1" si="2">H6-G6</f>
        <v>-37.799999999999727</v>
      </c>
      <c r="K6" s="38">
        <f t="shared" ref="K6:K21" ca="1" si="3">J6/G6</f>
        <v>-1.2658227848101175E-2</v>
      </c>
      <c r="L6" s="39" cm="1">
        <f t="array" aca="1" ref="L6" ca="1">_FV(C6,"Change")</f>
        <v>-14.5</v>
      </c>
      <c r="M6" s="38" cm="1">
        <f t="array" aca="1" ref="M6" ca="1">_FV(C6,"Change (%)",TRUE)</f>
        <v>-4.4409999999999998E-2</v>
      </c>
      <c r="N6" s="40">
        <f ca="1">M6*G6</f>
        <v>-132.61714199999997</v>
      </c>
      <c r="O6" s="41">
        <v>268.59999999999997</v>
      </c>
      <c r="P6" s="38">
        <f t="shared" ref="P6:P21" si="4">O6/F6-1</f>
        <v>-0.15000000000000013</v>
      </c>
      <c r="Q6" s="40">
        <f t="shared" ref="Q6:Q21" si="5">P6*G6</f>
        <v>-447.93000000000035</v>
      </c>
      <c r="R6" s="42">
        <f t="shared" ref="R6:R21" ca="1" si="6">O6/I6-1</f>
        <v>-0.13910256410256416</v>
      </c>
      <c r="S6" s="36">
        <f ca="1">IF(K6&lt;0.1,O6,IF(K6&lt;0.125,F6*1,IF(K6&lt;0.15,F6*1.02,IF(K6&lt;0.2,F6*1.05,IF(K6&lt;0.3,F6*1.1,I6*0.85)))))</f>
        <v>268.59999999999997</v>
      </c>
      <c r="T6" s="36">
        <f ca="1">S6*0.98</f>
        <v>263.22799999999995</v>
      </c>
      <c r="U6" s="38">
        <f t="shared" ref="U6:U21" ca="1" si="7">S6/F6-1</f>
        <v>-0.15000000000000013</v>
      </c>
      <c r="V6" s="40">
        <f t="shared" ref="V6:V21" ca="1" si="8">U6*G6</f>
        <v>-447.93000000000035</v>
      </c>
      <c r="W6" s="42">
        <f ca="1">S6/I6-1</f>
        <v>-0.13910256410256416</v>
      </c>
      <c r="X6" s="36" t="str">
        <f ca="1">IF(OR(S6&lt;=O6,ABS(R6)-ABS(W6)&lt;1%),"OK","RAISE")</f>
        <v>OK</v>
      </c>
      <c r="Y6" s="43"/>
      <c r="Z6" s="44" cm="1">
        <f t="array" aca="1" ref="Z6" ca="1">_FV(C6,"P/E",TRUE)</f>
        <v>13.6751</v>
      </c>
      <c r="AA6" s="45" cm="1">
        <f t="array" aca="1" ref="AA6" ca="1">_FV(C6,"Market cap",TRUE)/1000000</f>
        <v>867.42790000000002</v>
      </c>
      <c r="AB6" s="44" cm="1">
        <f t="array" aca="1" ref="AB6" ca="1">_FV(C6,"52 week high",TRUE)</f>
        <v>335.5</v>
      </c>
      <c r="AC6" s="44" cm="1">
        <f t="array" aca="1" ref="AC6" ca="1">_FV(C6,"52 week low",TRUE)</f>
        <v>183.4</v>
      </c>
      <c r="AD6" s="46" t="str" cm="1">
        <f t="array" aca="1" ref="AD6" ca="1">_FV(C6,"Industry")</f>
        <v>Investment Banking &amp; Investment Services</v>
      </c>
      <c r="AG6" s="31" t="s">
        <v>37</v>
      </c>
      <c r="AH6" s="47">
        <v>-0.15</v>
      </c>
    </row>
    <row r="7" spans="2:34" x14ac:dyDescent="0.35">
      <c r="B7" s="33" t="s">
        <v>38</v>
      </c>
      <c r="C7" s="48" t="e" vm="2">
        <v>#VALUE!</v>
      </c>
      <c r="D7" s="35" t="str" cm="1">
        <f t="array" aca="1" ref="D7" ca="1">_FV(C7,"Official name",TRUE)</f>
        <v>SCIENCE GROUP PLC</v>
      </c>
      <c r="E7" s="36">
        <v>543</v>
      </c>
      <c r="F7" s="36">
        <v>560</v>
      </c>
      <c r="G7" s="36">
        <f t="shared" si="0"/>
        <v>3040.8</v>
      </c>
      <c r="H7" s="36">
        <f t="shared" ca="1" si="1"/>
        <v>2959.35</v>
      </c>
      <c r="I7" s="36" cm="1">
        <f t="array" aca="1" ref="I7" ca="1">_FV(C7,"Price")</f>
        <v>545</v>
      </c>
      <c r="J7" s="37">
        <f t="shared" ca="1" si="2"/>
        <v>-81.450000000000273</v>
      </c>
      <c r="K7" s="38">
        <f t="shared" ca="1" si="3"/>
        <v>-2.6785714285714374E-2</v>
      </c>
      <c r="L7" s="39" cm="1">
        <f t="array" aca="1" ref="L7" ca="1">_FV(C7,"Change")</f>
        <v>2.5</v>
      </c>
      <c r="M7" s="38" cm="1">
        <f t="array" aca="1" ref="M7" ca="1">_FV(C7,"Change (%)",TRUE)</f>
        <v>4.6080000000000001E-3</v>
      </c>
      <c r="N7" s="40">
        <f t="shared" ref="N7:N21" ca="1" si="9">M7*G7</f>
        <v>14.012006400000001</v>
      </c>
      <c r="O7" s="41">
        <v>476</v>
      </c>
      <c r="P7" s="38">
        <f t="shared" si="4"/>
        <v>-0.15000000000000002</v>
      </c>
      <c r="Q7" s="40">
        <f t="shared" si="5"/>
        <v>-456.12000000000012</v>
      </c>
      <c r="R7" s="42">
        <f t="shared" ca="1" si="6"/>
        <v>-0.12660550458715591</v>
      </c>
      <c r="S7" s="36">
        <f t="shared" ref="S7:S21" ca="1" si="10">IF(K7&lt;0.1,O7,IF(K7&lt;0.125,F7*1,IF(K7&lt;0.15,F7*1.02,IF(K7&lt;0.2,F7*1.05,IF(K7&lt;0.3,F7*1.1,I7*0.85)))))</f>
        <v>476</v>
      </c>
      <c r="T7" s="36">
        <f t="shared" ref="T7:T21" ca="1" si="11">S7*0.98</f>
        <v>466.48</v>
      </c>
      <c r="U7" s="38">
        <f t="shared" ca="1" si="7"/>
        <v>-0.15000000000000002</v>
      </c>
      <c r="V7" s="40">
        <f t="shared" ca="1" si="8"/>
        <v>-456.12000000000012</v>
      </c>
      <c r="W7" s="42">
        <f t="shared" ref="W7:W21" ca="1" si="12">S7/I7-1</f>
        <v>-0.12660550458715591</v>
      </c>
      <c r="X7" s="36" t="str">
        <f t="shared" ref="X7:X21" ca="1" si="13">IF(OR(S7&lt;=O7,ABS(R7)-ABS(W7)&lt;1%),"OK","RAISE")</f>
        <v>OK</v>
      </c>
      <c r="Y7" s="43"/>
      <c r="Z7" s="44" cm="1">
        <f t="array" aca="1" ref="Z7" ca="1">_FV(C7,"P/E",TRUE)</f>
        <v>7.8648999999999996</v>
      </c>
      <c r="AA7" s="45" cm="1">
        <f t="array" aca="1" ref="AA7" ca="1">_FV(C7,"Market cap",TRUE)/1000000</f>
        <v>239.0504</v>
      </c>
      <c r="AB7" s="44" cm="1">
        <f t="array" aca="1" ref="AB7" ca="1">_FV(C7,"52 week high",TRUE)</f>
        <v>605</v>
      </c>
      <c r="AC7" s="44" cm="1">
        <f t="array" aca="1" ref="AC7" ca="1">_FV(C7,"52 week low",TRUE)</f>
        <v>400</v>
      </c>
      <c r="AD7" s="46" t="str" cm="1">
        <f t="array" aca="1" ref="AD7" ca="1">_FV(C7,"Industry")</f>
        <v>Professional &amp; Commercial Services</v>
      </c>
      <c r="AG7" s="2" t="s">
        <v>39</v>
      </c>
      <c r="AH7" s="1" t="s">
        <v>40</v>
      </c>
    </row>
    <row r="8" spans="2:34" x14ac:dyDescent="0.35">
      <c r="B8" s="33" t="s">
        <v>41</v>
      </c>
      <c r="C8" s="48" t="e" vm="3">
        <v>#VALUE!</v>
      </c>
      <c r="D8" s="35" t="str" cm="1">
        <f t="array" aca="1" ref="D8" ca="1">_FV(C8,"Official name",TRUE)</f>
        <v>AEP PLANTATIONS PLC</v>
      </c>
      <c r="E8" s="36">
        <v>169.4</v>
      </c>
      <c r="F8" s="36">
        <v>1450</v>
      </c>
      <c r="G8" s="36">
        <f t="shared" si="0"/>
        <v>2456.3000000000002</v>
      </c>
      <c r="H8" s="36">
        <f t="shared" ca="1" si="1"/>
        <v>2532.5300000000002</v>
      </c>
      <c r="I8" s="36" cm="1">
        <f t="array" aca="1" ref="I8" ca="1">_FV(C8,"Price")</f>
        <v>1495</v>
      </c>
      <c r="J8" s="37">
        <f t="shared" ca="1" si="2"/>
        <v>76.230000000000018</v>
      </c>
      <c r="K8" s="38">
        <f t="shared" ca="1" si="3"/>
        <v>3.1034482758620696E-2</v>
      </c>
      <c r="L8" s="39" cm="1">
        <f t="array" aca="1" ref="L8" ca="1">_FV(C8,"Change")</f>
        <v>5</v>
      </c>
      <c r="M8" s="38" cm="1">
        <f t="array" aca="1" ref="M8" ca="1">_FV(C8,"Change (%)",TRUE)</f>
        <v>3.356E-3</v>
      </c>
      <c r="N8" s="40">
        <f t="shared" ca="1" si="9"/>
        <v>8.2433428000000006</v>
      </c>
      <c r="O8" s="41">
        <v>1232.5</v>
      </c>
      <c r="P8" s="38">
        <f t="shared" si="4"/>
        <v>-0.15000000000000002</v>
      </c>
      <c r="Q8" s="40">
        <f t="shared" si="5"/>
        <v>-368.44500000000011</v>
      </c>
      <c r="R8" s="42">
        <f t="shared" ca="1" si="6"/>
        <v>-0.17558528428093645</v>
      </c>
      <c r="S8" s="36">
        <f t="shared" ca="1" si="10"/>
        <v>1232.5</v>
      </c>
      <c r="T8" s="36">
        <f t="shared" ca="1" si="11"/>
        <v>1207.8499999999999</v>
      </c>
      <c r="U8" s="38">
        <f t="shared" ca="1" si="7"/>
        <v>-0.15000000000000002</v>
      </c>
      <c r="V8" s="40">
        <f t="shared" ca="1" si="8"/>
        <v>-368.44500000000011</v>
      </c>
      <c r="W8" s="42">
        <f t="shared" ca="1" si="12"/>
        <v>-0.17558528428093645</v>
      </c>
      <c r="X8" s="36" t="str">
        <f t="shared" ca="1" si="13"/>
        <v>OK</v>
      </c>
      <c r="Y8" s="43"/>
      <c r="Z8" s="44" cm="1">
        <f t="array" aca="1" ref="Z8" ca="1">_FV(C8,"P/E",TRUE)</f>
        <v>9.1801999999999992</v>
      </c>
      <c r="AA8" s="45" cm="1">
        <f t="array" aca="1" ref="AA8" ca="1">_FV(C8,"Market cap",TRUE)/1000000</f>
        <v>532.92060000000004</v>
      </c>
      <c r="AB8" s="44" cm="1">
        <f t="array" aca="1" ref="AB8" ca="1">_FV(C8,"52 week high",TRUE)</f>
        <v>1535</v>
      </c>
      <c r="AC8" s="44" cm="1">
        <f t="array" aca="1" ref="AC8" ca="1">_FV(C8,"52 week low",TRUE)</f>
        <v>640</v>
      </c>
      <c r="AD8" s="46" t="str" cm="1">
        <f t="array" aca="1" ref="AD8" ca="1">_FV(C8,"Industry")</f>
        <v>Food &amp; Tobacco</v>
      </c>
      <c r="AG8" s="31" t="s">
        <v>42</v>
      </c>
      <c r="AH8" s="47">
        <v>0.02</v>
      </c>
    </row>
    <row r="9" spans="2:34" x14ac:dyDescent="0.35">
      <c r="B9" s="33" t="s">
        <v>43</v>
      </c>
      <c r="C9" s="48" t="e" vm="4">
        <v>#VALUE!</v>
      </c>
      <c r="D9" s="35" t="str" cm="1">
        <f t="array" aca="1" ref="D9" ca="1">_FV(C9,"Official name",TRUE)</f>
        <v>YU GROUP PLC</v>
      </c>
      <c r="E9" s="36">
        <v>183</v>
      </c>
      <c r="F9" s="36">
        <v>1670</v>
      </c>
      <c r="G9" s="36">
        <f t="shared" si="0"/>
        <v>3056.1</v>
      </c>
      <c r="H9" s="36">
        <f t="shared" ca="1" si="1"/>
        <v>3550.2</v>
      </c>
      <c r="I9" s="36" cm="1">
        <f t="array" aca="1" ref="I9" ca="1">_FV(C9,"Price")</f>
        <v>1940</v>
      </c>
      <c r="J9" s="37">
        <f t="shared" ca="1" si="2"/>
        <v>494.09999999999991</v>
      </c>
      <c r="K9" s="38">
        <f t="shared" ca="1" si="3"/>
        <v>0.1616766467065868</v>
      </c>
      <c r="L9" s="39" cm="1">
        <f t="array" aca="1" ref="L9" ca="1">_FV(C9,"Change")</f>
        <v>0</v>
      </c>
      <c r="M9" s="38" cm="1">
        <f t="array" aca="1" ref="M9" ca="1">_FV(C9,"Change (%)",TRUE)</f>
        <v>0</v>
      </c>
      <c r="N9" s="40">
        <f t="shared" ca="1" si="9"/>
        <v>0</v>
      </c>
      <c r="O9" s="41">
        <v>1750</v>
      </c>
      <c r="P9" s="38">
        <f t="shared" si="4"/>
        <v>4.7904191616766401E-2</v>
      </c>
      <c r="Q9" s="40">
        <f t="shared" si="5"/>
        <v>146.39999999999978</v>
      </c>
      <c r="R9" s="42">
        <f t="shared" ca="1" si="6"/>
        <v>-9.7938144329896892E-2</v>
      </c>
      <c r="S9" s="36">
        <f t="shared" ca="1" si="10"/>
        <v>1753.5</v>
      </c>
      <c r="T9" s="36">
        <f t="shared" ca="1" si="11"/>
        <v>1718.43</v>
      </c>
      <c r="U9" s="38">
        <f t="shared" ca="1" si="7"/>
        <v>5.0000000000000044E-2</v>
      </c>
      <c r="V9" s="40">
        <f t="shared" ca="1" si="8"/>
        <v>152.80500000000012</v>
      </c>
      <c r="W9" s="42">
        <f t="shared" ca="1" si="12"/>
        <v>-9.6134020618556693E-2</v>
      </c>
      <c r="X9" s="36" t="str">
        <f t="shared" ca="1" si="13"/>
        <v>OK</v>
      </c>
      <c r="Y9" s="43"/>
      <c r="Z9" s="44" cm="1">
        <f t="array" aca="1" ref="Z9" ca="1">_FV(C9,"P/E",TRUE)</f>
        <v>9.1402000000000001</v>
      </c>
      <c r="AA9" s="45" cm="1">
        <f t="array" aca="1" ref="AA9" ca="1">_FV(C9,"Market cap",TRUE)/1000000</f>
        <v>271.23419999999999</v>
      </c>
      <c r="AB9" s="44" cm="1">
        <f t="array" aca="1" ref="AB9" ca="1">_FV(C9,"52 week high",TRUE)</f>
        <v>1950</v>
      </c>
      <c r="AC9" s="44" cm="1">
        <f t="array" aca="1" ref="AC9" ca="1">_FV(C9,"52 week low",TRUE)</f>
        <v>1286</v>
      </c>
      <c r="AD9" s="46" t="str" cm="1">
        <f t="array" aca="1" ref="AD9" ca="1">_FV(C9,"Industry")</f>
        <v>Multiline Utilities</v>
      </c>
      <c r="AG9" s="31" t="s">
        <v>44</v>
      </c>
      <c r="AH9" s="47">
        <v>0.05</v>
      </c>
    </row>
    <row r="10" spans="2:34" x14ac:dyDescent="0.35">
      <c r="B10" s="33" t="s">
        <v>45</v>
      </c>
      <c r="C10" s="48" t="e" vm="5">
        <v>#VALUE!</v>
      </c>
      <c r="D10" s="35" t="str" cm="1">
        <f t="array" aca="1" ref="D10" ca="1">_FV(C10,"Official name",TRUE)</f>
        <v>KIER GROUP PLC</v>
      </c>
      <c r="E10" s="36">
        <v>1120</v>
      </c>
      <c r="F10" s="36">
        <v>222</v>
      </c>
      <c r="G10" s="36">
        <f t="shared" si="0"/>
        <v>2486.4</v>
      </c>
      <c r="H10" s="36">
        <f t="shared" ca="1" si="1"/>
        <v>2654.4</v>
      </c>
      <c r="I10" s="36" cm="1">
        <f t="array" aca="1" ref="I10" ca="1">_FV(C10,"Price")</f>
        <v>237</v>
      </c>
      <c r="J10" s="37">
        <f t="shared" ca="1" si="2"/>
        <v>168</v>
      </c>
      <c r="K10" s="38">
        <f t="shared" ca="1" si="3"/>
        <v>6.7567567567567571E-2</v>
      </c>
      <c r="L10" s="39" cm="1">
        <f t="array" aca="1" ref="L10" ca="1">_FV(C10,"Change")</f>
        <v>5</v>
      </c>
      <c r="M10" s="38" cm="1">
        <f t="array" aca="1" ref="M10" ca="1">_FV(C10,"Change (%)",TRUE)</f>
        <v>2.1551999999999998E-2</v>
      </c>
      <c r="N10" s="40">
        <f t="shared" ca="1" si="9"/>
        <v>53.586892800000001</v>
      </c>
      <c r="O10" s="41">
        <v>188.7</v>
      </c>
      <c r="P10" s="38">
        <f t="shared" si="4"/>
        <v>-0.15000000000000002</v>
      </c>
      <c r="Q10" s="40">
        <f t="shared" si="5"/>
        <v>-372.96000000000009</v>
      </c>
      <c r="R10" s="42">
        <f t="shared" ca="1" si="6"/>
        <v>-0.20379746835443047</v>
      </c>
      <c r="S10" s="36">
        <f t="shared" ca="1" si="10"/>
        <v>188.7</v>
      </c>
      <c r="T10" s="36">
        <f t="shared" ca="1" si="11"/>
        <v>184.92599999999999</v>
      </c>
      <c r="U10" s="38">
        <f t="shared" ca="1" si="7"/>
        <v>-0.15000000000000002</v>
      </c>
      <c r="V10" s="40">
        <f t="shared" ca="1" si="8"/>
        <v>-372.96000000000009</v>
      </c>
      <c r="W10" s="42">
        <f t="shared" ca="1" si="12"/>
        <v>-0.20379746835443047</v>
      </c>
      <c r="X10" s="36" t="str">
        <f t="shared" ca="1" si="13"/>
        <v>OK</v>
      </c>
      <c r="Y10" s="43"/>
      <c r="Z10" s="44" cm="1">
        <f t="array" aca="1" ref="Z10" ca="1">_FV(C10,"P/E",TRUE)</f>
        <v>18.485099999999999</v>
      </c>
      <c r="AA10" s="45" cm="1">
        <f t="array" aca="1" ref="AA10" ca="1">_FV(C10,"Market cap",TRUE)/1000000</f>
        <v>958.91629999999998</v>
      </c>
      <c r="AB10" s="44" cm="1">
        <f t="array" aca="1" ref="AB10" ca="1">_FV(C10,"52 week high",TRUE)</f>
        <v>238</v>
      </c>
      <c r="AC10" s="44" cm="1">
        <f t="array" aca="1" ref="AC10" ca="1">_FV(C10,"52 week low",TRUE)</f>
        <v>107.2</v>
      </c>
      <c r="AD10" s="46" t="str" cm="1">
        <f t="array" aca="1" ref="AD10" ca="1">_FV(C10,"Industry")</f>
        <v>Construction &amp; Engineering</v>
      </c>
      <c r="AG10" s="31" t="s">
        <v>46</v>
      </c>
      <c r="AH10" s="47" t="s">
        <v>47</v>
      </c>
    </row>
    <row r="11" spans="2:34" x14ac:dyDescent="0.35">
      <c r="B11" s="33" t="s">
        <v>48</v>
      </c>
      <c r="C11" s="48" t="e" vm="6">
        <v>#VALUE!</v>
      </c>
      <c r="D11" s="35" t="str" cm="1">
        <f t="array" aca="1" ref="D11" ca="1">_FV(C11,"Official name",TRUE)</f>
        <v>KELLER GROUP PLC</v>
      </c>
      <c r="E11" s="36">
        <v>175</v>
      </c>
      <c r="F11" s="36">
        <v>1714</v>
      </c>
      <c r="G11" s="36">
        <f t="shared" si="0"/>
        <v>2999.5</v>
      </c>
      <c r="H11" s="36">
        <f t="shared" ca="1" si="1"/>
        <v>3346</v>
      </c>
      <c r="I11" s="36" cm="1">
        <f t="array" aca="1" ref="I11" ca="1">_FV(C11,"Price")</f>
        <v>1912</v>
      </c>
      <c r="J11" s="37">
        <f t="shared" ca="1" si="2"/>
        <v>346.5</v>
      </c>
      <c r="K11" s="38">
        <f t="shared" ca="1" si="3"/>
        <v>0.11551925320886815</v>
      </c>
      <c r="L11" s="39" cm="1">
        <f t="array" aca="1" ref="L11" ca="1">_FV(C11,"Change")</f>
        <v>8</v>
      </c>
      <c r="M11" s="38" cm="1">
        <f t="array" aca="1" ref="M11" ca="1">_FV(C11,"Change (%)",TRUE)</f>
        <v>4.202E-3</v>
      </c>
      <c r="N11" s="40">
        <f t="shared" ca="1" si="9"/>
        <v>12.603899</v>
      </c>
      <c r="O11" s="41">
        <v>1748</v>
      </c>
      <c r="P11" s="38">
        <f t="shared" si="4"/>
        <v>1.9836639439906545E-2</v>
      </c>
      <c r="Q11" s="40">
        <f t="shared" si="5"/>
        <v>59.49999999999968</v>
      </c>
      <c r="R11" s="42">
        <f t="shared" ca="1" si="6"/>
        <v>-8.5774058577405832E-2</v>
      </c>
      <c r="S11" s="36">
        <f t="shared" ca="1" si="10"/>
        <v>1714</v>
      </c>
      <c r="T11" s="36">
        <f t="shared" ca="1" si="11"/>
        <v>1679.72</v>
      </c>
      <c r="U11" s="38">
        <f t="shared" ca="1" si="7"/>
        <v>0</v>
      </c>
      <c r="V11" s="40">
        <f t="shared" ca="1" si="8"/>
        <v>0</v>
      </c>
      <c r="W11" s="42">
        <f t="shared" ca="1" si="12"/>
        <v>-0.10355648535564854</v>
      </c>
      <c r="X11" s="36" t="str">
        <f t="shared" ca="1" si="13"/>
        <v>OK</v>
      </c>
      <c r="Y11" s="43"/>
      <c r="Z11" s="44" cm="1">
        <f t="array" aca="1" ref="Z11" ca="1">_FV(C11,"P/E",TRUE)</f>
        <v>9.7125000000000004</v>
      </c>
      <c r="AA11" s="45" cm="1">
        <f t="array" aca="1" ref="AA11" ca="1">_FV(C11,"Market cap",TRUE)/1000000</f>
        <v>1169.6220000000001</v>
      </c>
      <c r="AB11" s="44" cm="1">
        <f t="array" aca="1" ref="AB11" ca="1">_FV(C11,"52 week high",TRUE)</f>
        <v>1922</v>
      </c>
      <c r="AC11" s="44" cm="1">
        <f t="array" aca="1" ref="AC11" ca="1">_FV(C11,"52 week low",TRUE)</f>
        <v>1222</v>
      </c>
      <c r="AD11" s="46" t="str" cm="1">
        <f t="array" aca="1" ref="AD11" ca="1">_FV(C11,"Industry")</f>
        <v>Construction &amp; Engineering</v>
      </c>
    </row>
    <row r="12" spans="2:34" x14ac:dyDescent="0.35">
      <c r="B12" s="33" t="s">
        <v>49</v>
      </c>
      <c r="C12" s="48" t="e" vm="7">
        <v>#VALUE!</v>
      </c>
      <c r="D12" s="35" t="str" cm="1">
        <f t="array" aca="1" ref="D12" ca="1">_FV(C12,"Official name",TRUE)</f>
        <v>FRP ADVISORY GROUP PLC</v>
      </c>
      <c r="E12" s="36">
        <v>2267</v>
      </c>
      <c r="F12" s="36">
        <v>133</v>
      </c>
      <c r="G12" s="36">
        <f t="shared" si="0"/>
        <v>3015.11</v>
      </c>
      <c r="H12" s="36">
        <f t="shared" ca="1" si="1"/>
        <v>3015.11</v>
      </c>
      <c r="I12" s="36" cm="1">
        <f t="array" aca="1" ref="I12" ca="1">_FV(C12,"Price")</f>
        <v>133</v>
      </c>
      <c r="J12" s="37">
        <f t="shared" ca="1" si="2"/>
        <v>0</v>
      </c>
      <c r="K12" s="38">
        <f t="shared" ca="1" si="3"/>
        <v>0</v>
      </c>
      <c r="L12" s="39" cm="1">
        <f t="array" aca="1" ref="L12" ca="1">_FV(C12,"Change")</f>
        <v>-2.5</v>
      </c>
      <c r="M12" s="38" cm="1">
        <f t="array" aca="1" ref="M12" ca="1">_FV(C12,"Change (%)",TRUE)</f>
        <v>-1.8450000000000001E-2</v>
      </c>
      <c r="N12" s="40">
        <f t="shared" ca="1" si="9"/>
        <v>-55.628779500000007</v>
      </c>
      <c r="O12" s="41">
        <v>113.05</v>
      </c>
      <c r="P12" s="38">
        <f t="shared" si="4"/>
        <v>-0.15000000000000002</v>
      </c>
      <c r="Q12" s="40">
        <f t="shared" si="5"/>
        <v>-452.26650000000006</v>
      </c>
      <c r="R12" s="42">
        <f t="shared" ca="1" si="6"/>
        <v>-0.15000000000000002</v>
      </c>
      <c r="S12" s="36">
        <f t="shared" ca="1" si="10"/>
        <v>113.05</v>
      </c>
      <c r="T12" s="36">
        <f t="shared" ca="1" si="11"/>
        <v>110.789</v>
      </c>
      <c r="U12" s="38">
        <f t="shared" ca="1" si="7"/>
        <v>-0.15000000000000002</v>
      </c>
      <c r="V12" s="40">
        <f t="shared" ca="1" si="8"/>
        <v>-452.26650000000006</v>
      </c>
      <c r="W12" s="42">
        <f t="shared" ca="1" si="12"/>
        <v>-0.15000000000000002</v>
      </c>
      <c r="X12" s="36" t="str">
        <f t="shared" ca="1" si="13"/>
        <v>OK</v>
      </c>
      <c r="Y12" s="43"/>
      <c r="Z12" s="44" cm="1">
        <f t="array" aca="1" ref="Z12" ca="1">_FV(C12,"P/E",TRUE)</f>
        <v>14.657999999999999</v>
      </c>
      <c r="AA12" s="45" cm="1">
        <f t="array" aca="1" ref="AA12" ca="1">_FV(C12,"Market cap",TRUE)/1000000</f>
        <v>343.3329</v>
      </c>
      <c r="AB12" s="44" cm="1">
        <f t="array" aca="1" ref="AB12" ca="1">_FV(C12,"52 week high",TRUE)</f>
        <v>151</v>
      </c>
      <c r="AC12" s="44" cm="1">
        <f t="array" aca="1" ref="AC12" ca="1">_FV(C12,"52 week low",TRUE)</f>
        <v>113.5</v>
      </c>
      <c r="AD12" s="46" t="str" cm="1">
        <f t="array" aca="1" ref="AD12" ca="1">_FV(C12,"Industry")</f>
        <v>Professional &amp; Commercial Services</v>
      </c>
    </row>
    <row r="13" spans="2:34" x14ac:dyDescent="0.35">
      <c r="B13" s="33" t="s">
        <v>50</v>
      </c>
      <c r="C13" s="48" t="e" vm="8">
        <v>#VALUE!</v>
      </c>
      <c r="D13" s="35" t="str" cm="1">
        <f t="array" aca="1" ref="D13" ca="1">_FV(C13,"Official name",TRUE)</f>
        <v>VICTORIAN PLUMBING GROUP PLC</v>
      </c>
      <c r="E13" s="36">
        <v>3240</v>
      </c>
      <c r="F13" s="36">
        <v>79.36</v>
      </c>
      <c r="G13" s="36">
        <f t="shared" si="0"/>
        <v>2571.2640000000001</v>
      </c>
      <c r="H13" s="36">
        <f t="shared" ca="1" si="1"/>
        <v>2844.72</v>
      </c>
      <c r="I13" s="36" cm="1">
        <f t="array" aca="1" ref="I13" ca="1">_FV(C13,"Price")</f>
        <v>87.8</v>
      </c>
      <c r="J13" s="37">
        <f t="shared" ca="1" si="2"/>
        <v>273.45599999999968</v>
      </c>
      <c r="K13" s="38">
        <f t="shared" ca="1" si="3"/>
        <v>0.10635080645161277</v>
      </c>
      <c r="L13" s="39" cm="1">
        <f t="array" aca="1" ref="L13" ca="1">_FV(C13,"Change")</f>
        <v>1.8</v>
      </c>
      <c r="M13" s="38" cm="1">
        <f t="array" aca="1" ref="M13" ca="1">_FV(C13,"Change (%)",TRUE)</f>
        <v>2.0930000000000001E-2</v>
      </c>
      <c r="N13" s="40">
        <f t="shared" ca="1" si="9"/>
        <v>53.816555520000001</v>
      </c>
      <c r="O13" s="41">
        <v>81</v>
      </c>
      <c r="P13" s="38">
        <f t="shared" si="4"/>
        <v>2.066532258064524E-2</v>
      </c>
      <c r="Q13" s="40">
        <f t="shared" si="5"/>
        <v>53.136000000000202</v>
      </c>
      <c r="R13" s="42">
        <f t="shared" ca="1" si="6"/>
        <v>-7.7448747152619513E-2</v>
      </c>
      <c r="S13" s="36">
        <f t="shared" ca="1" si="10"/>
        <v>79.36</v>
      </c>
      <c r="T13" s="36">
        <f t="shared" ca="1" si="11"/>
        <v>77.772800000000004</v>
      </c>
      <c r="U13" s="38">
        <f t="shared" ca="1" si="7"/>
        <v>0</v>
      </c>
      <c r="V13" s="40">
        <f t="shared" ca="1" si="8"/>
        <v>0</v>
      </c>
      <c r="W13" s="42">
        <f t="shared" ca="1" si="12"/>
        <v>-9.6127562642368991E-2</v>
      </c>
      <c r="X13" s="36" t="str">
        <f t="shared" ca="1" si="13"/>
        <v>OK</v>
      </c>
      <c r="Y13" s="43"/>
      <c r="Z13" s="44" cm="1">
        <f t="array" aca="1" ref="Z13" ca="1">_FV(C13,"P/E",TRUE)</f>
        <v>19.087</v>
      </c>
      <c r="AA13" s="45" cm="1">
        <f t="array" aca="1" ref="AA13" ca="1">_FV(C13,"Market cap",TRUE)/1000000</f>
        <v>262.9633</v>
      </c>
      <c r="AB13" s="44" cm="1">
        <f t="array" aca="1" ref="AB13" ca="1">_FV(C13,"52 week high",TRUE)</f>
        <v>109</v>
      </c>
      <c r="AC13" s="44" cm="1">
        <f t="array" aca="1" ref="AC13" ca="1">_FV(C13,"52 week low",TRUE)</f>
        <v>56.8</v>
      </c>
      <c r="AD13" s="46" t="str" cm="1">
        <f t="array" aca="1" ref="AD13" ca="1">_FV(C13,"Industry")</f>
        <v>Household Goods</v>
      </c>
    </row>
    <row r="14" spans="2:34" x14ac:dyDescent="0.35">
      <c r="B14" s="33" t="s">
        <v>51</v>
      </c>
      <c r="C14" s="48" t="e" vm="9">
        <v>#VALUE!</v>
      </c>
      <c r="D14" s="35" t="str" cm="1">
        <f t="array" aca="1" ref="D14" ca="1">_FV(C14,"Official name",TRUE)</f>
        <v>M.P. EVANS GROUP PLC</v>
      </c>
      <c r="E14" s="36">
        <v>279</v>
      </c>
      <c r="F14" s="36">
        <v>1240</v>
      </c>
      <c r="G14" s="36">
        <f t="shared" si="0"/>
        <v>3459.6</v>
      </c>
      <c r="H14" s="36">
        <f t="shared" ca="1" si="1"/>
        <v>4254.75</v>
      </c>
      <c r="I14" s="36" cm="1">
        <f t="array" aca="1" ref="I14" ca="1">_FV(C14,"Price")</f>
        <v>1525</v>
      </c>
      <c r="J14" s="37">
        <f t="shared" ca="1" si="2"/>
        <v>795.15000000000009</v>
      </c>
      <c r="K14" s="38">
        <f t="shared" ca="1" si="3"/>
        <v>0.2298387096774194</v>
      </c>
      <c r="L14" s="39" cm="1">
        <f t="array" aca="1" ref="L14" ca="1">_FV(C14,"Change")</f>
        <v>145</v>
      </c>
      <c r="M14" s="38" cm="1">
        <f t="array" aca="1" ref="M14" ca="1">_FV(C14,"Change (%)",TRUE)</f>
        <v>0.105072</v>
      </c>
      <c r="N14" s="40">
        <f t="shared" ca="1" si="9"/>
        <v>363.50709119999999</v>
      </c>
      <c r="O14" s="41">
        <v>1365</v>
      </c>
      <c r="P14" s="38">
        <f t="shared" si="4"/>
        <v>0.10080645161290325</v>
      </c>
      <c r="Q14" s="40">
        <f t="shared" si="5"/>
        <v>348.75000000000006</v>
      </c>
      <c r="R14" s="42">
        <f t="shared" ca="1" si="6"/>
        <v>-0.10491803278688527</v>
      </c>
      <c r="S14" s="36">
        <f t="shared" ca="1" si="10"/>
        <v>1364</v>
      </c>
      <c r="T14" s="36">
        <f t="shared" ca="1" si="11"/>
        <v>1336.72</v>
      </c>
      <c r="U14" s="38">
        <f t="shared" ca="1" si="7"/>
        <v>0.10000000000000009</v>
      </c>
      <c r="V14" s="40">
        <f t="shared" ca="1" si="8"/>
        <v>345.96000000000032</v>
      </c>
      <c r="W14" s="42">
        <f t="shared" ca="1" si="12"/>
        <v>-0.10557377049180328</v>
      </c>
      <c r="X14" s="36" t="str">
        <f t="shared" ca="1" si="13"/>
        <v>OK</v>
      </c>
      <c r="Y14" s="43"/>
      <c r="Z14" s="44" cm="1">
        <f t="array" aca="1" ref="Z14" ca="1">_FV(C14,"P/E",TRUE)</f>
        <v>10.1647</v>
      </c>
      <c r="AA14" s="45" cm="1">
        <f t="array" aca="1" ref="AA14" ca="1">_FV(C14,"Market cap",TRUE)/1000000</f>
        <v>657.82010000000002</v>
      </c>
      <c r="AB14" s="44" cm="1">
        <f t="array" aca="1" ref="AB14" ca="1">_FV(C14,"52 week high",TRUE)</f>
        <v>1525</v>
      </c>
      <c r="AC14" s="44" cm="1">
        <f t="array" aca="1" ref="AC14" ca="1">_FV(C14,"52 week low",TRUE)</f>
        <v>912</v>
      </c>
      <c r="AD14" s="46" t="str" cm="1">
        <f t="array" aca="1" ref="AD14" ca="1">_FV(C14,"Industry")</f>
        <v>Food &amp; Tobacco</v>
      </c>
    </row>
    <row r="15" spans="2:34" x14ac:dyDescent="0.35">
      <c r="B15" s="33" t="s">
        <v>52</v>
      </c>
      <c r="C15" s="48" t="e" vm="10">
        <v>#VALUE!</v>
      </c>
      <c r="D15" s="35" t="str" cm="1">
        <f t="array" aca="1" ref="D15" ca="1">_FV(C15,"Official name",TRUE)</f>
        <v>HUNTING PLC</v>
      </c>
      <c r="E15" s="36">
        <v>733.69899999999996</v>
      </c>
      <c r="F15" s="36">
        <v>406.6</v>
      </c>
      <c r="G15" s="36">
        <f t="shared" si="0"/>
        <v>2983.2201340000001</v>
      </c>
      <c r="H15" s="36">
        <f t="shared" ca="1" si="1"/>
        <v>3547.4346649999998</v>
      </c>
      <c r="I15" s="36" cm="1">
        <f t="array" aca="1" ref="I15" ca="1">_FV(C15,"Price")</f>
        <v>483.5</v>
      </c>
      <c r="J15" s="37">
        <f t="shared" ca="1" si="2"/>
        <v>564.21453099999962</v>
      </c>
      <c r="K15" s="38">
        <f t="shared" ca="1" si="3"/>
        <v>0.18912936546974901</v>
      </c>
      <c r="L15" s="39" cm="1">
        <f t="array" aca="1" ref="L15" ca="1">_FV(C15,"Change")</f>
        <v>8</v>
      </c>
      <c r="M15" s="38" cm="1">
        <f t="array" aca="1" ref="M15" ca="1">_FV(C15,"Change (%)",TRUE)</f>
        <v>1.6823999999999999E-2</v>
      </c>
      <c r="N15" s="40">
        <f t="shared" ca="1" si="9"/>
        <v>50.189695534415996</v>
      </c>
      <c r="O15" s="41">
        <v>430</v>
      </c>
      <c r="P15" s="38">
        <f t="shared" si="4"/>
        <v>5.7550418101327994E-2</v>
      </c>
      <c r="Q15" s="40">
        <f t="shared" si="5"/>
        <v>171.68556599999974</v>
      </c>
      <c r="R15" s="42">
        <f t="shared" ca="1" si="6"/>
        <v>-0.11065149948293695</v>
      </c>
      <c r="S15" s="36">
        <f t="shared" ca="1" si="10"/>
        <v>426.93000000000006</v>
      </c>
      <c r="T15" s="36">
        <f t="shared" ca="1" si="11"/>
        <v>418.39140000000003</v>
      </c>
      <c r="U15" s="38">
        <f t="shared" ca="1" si="7"/>
        <v>5.0000000000000044E-2</v>
      </c>
      <c r="V15" s="40">
        <f t="shared" ca="1" si="8"/>
        <v>149.16100670000014</v>
      </c>
      <c r="W15" s="42">
        <f t="shared" ca="1" si="12"/>
        <v>-0.11700103412616325</v>
      </c>
      <c r="X15" s="36" t="str">
        <f t="shared" ca="1" si="13"/>
        <v>OK</v>
      </c>
      <c r="Y15" s="43"/>
      <c r="Z15" s="44" cm="1">
        <f t="array" aca="1" ref="Z15" ca="1">_FV(C15,"P/E",TRUE)</f>
        <v>0</v>
      </c>
      <c r="AA15" s="45" cm="1">
        <f t="array" aca="1" ref="AA15" ca="1">_FV(C15,"Market cap",TRUE)/1000000</f>
        <v>626.66610000000003</v>
      </c>
      <c r="AB15" s="44" cm="1">
        <f t="array" aca="1" ref="AB15" ca="1">_FV(C15,"52 week high",TRUE)</f>
        <v>485</v>
      </c>
      <c r="AC15" s="44" cm="1">
        <f t="array" aca="1" ref="AC15" ca="1">_FV(C15,"52 week low",TRUE)</f>
        <v>245</v>
      </c>
      <c r="AD15" s="46" t="str" cm="1">
        <f t="array" aca="1" ref="AD15" ca="1">_FV(C15,"Industry")</f>
        <v>Oil &amp; Gas Related Equipment and Services</v>
      </c>
    </row>
    <row r="16" spans="2:34" x14ac:dyDescent="0.35">
      <c r="B16" s="33" t="s">
        <v>53</v>
      </c>
      <c r="C16" s="48" t="e" vm="11">
        <v>#VALUE!</v>
      </c>
      <c r="D16" s="35" t="str" cm="1">
        <f t="array" aca="1" ref="D16" ca="1">_FV(C16,"Official name",TRUE)</f>
        <v>RAMSDENS HOLDINGS PLC.</v>
      </c>
      <c r="E16" s="36">
        <v>580</v>
      </c>
      <c r="F16" s="36">
        <v>435</v>
      </c>
      <c r="G16" s="36">
        <f t="shared" si="0"/>
        <v>2523</v>
      </c>
      <c r="H16" s="36">
        <f t="shared" ca="1" si="1"/>
        <v>2581</v>
      </c>
      <c r="I16" s="36" cm="1">
        <f t="array" aca="1" ref="I16" ca="1">_FV(C16,"Price")</f>
        <v>445</v>
      </c>
      <c r="J16" s="37">
        <f t="shared" ca="1" si="2"/>
        <v>58</v>
      </c>
      <c r="K16" s="38">
        <f t="shared" ca="1" si="3"/>
        <v>2.2988505747126436E-2</v>
      </c>
      <c r="L16" s="39" cm="1">
        <f t="array" aca="1" ref="L16" ca="1">_FV(C16,"Change")</f>
        <v>5</v>
      </c>
      <c r="M16" s="38" cm="1">
        <f t="array" aca="1" ref="M16" ca="1">_FV(C16,"Change (%)",TRUE)</f>
        <v>1.1364000000000001E-2</v>
      </c>
      <c r="N16" s="40">
        <f t="shared" ca="1" si="9"/>
        <v>28.671372000000002</v>
      </c>
      <c r="O16" s="41">
        <v>369.75</v>
      </c>
      <c r="P16" s="38">
        <f t="shared" si="4"/>
        <v>-0.15000000000000002</v>
      </c>
      <c r="Q16" s="40">
        <f t="shared" si="5"/>
        <v>-378.45000000000005</v>
      </c>
      <c r="R16" s="42">
        <f t="shared" ca="1" si="6"/>
        <v>-0.16910112359550566</v>
      </c>
      <c r="S16" s="36">
        <f t="shared" ca="1" si="10"/>
        <v>369.75</v>
      </c>
      <c r="T16" s="36">
        <f t="shared" ca="1" si="11"/>
        <v>362.35500000000002</v>
      </c>
      <c r="U16" s="38">
        <f t="shared" ca="1" si="7"/>
        <v>-0.15000000000000002</v>
      </c>
      <c r="V16" s="40">
        <f t="shared" ca="1" si="8"/>
        <v>-378.45000000000005</v>
      </c>
      <c r="W16" s="42">
        <f t="shared" ca="1" si="12"/>
        <v>-0.16910112359550566</v>
      </c>
      <c r="X16" s="36" t="str">
        <f t="shared" ca="1" si="13"/>
        <v>OK</v>
      </c>
      <c r="Y16" s="43"/>
      <c r="Z16" s="44" cm="1">
        <f t="array" aca="1" ref="Z16" ca="1">_FV(C16,"P/E",TRUE)</f>
        <v>12.0238</v>
      </c>
      <c r="AA16" s="45" cm="1">
        <f t="array" aca="1" ref="AA16" ca="1">_FV(C16,"Market cap",TRUE)/1000000</f>
        <v>135.89429999999999</v>
      </c>
      <c r="AB16" s="44" cm="1">
        <f t="array" aca="1" ref="AB16" ca="1">_FV(C16,"52 week high",TRUE)</f>
        <v>470</v>
      </c>
      <c r="AC16" s="44" cm="1">
        <f t="array" aca="1" ref="AC16" ca="1">_FV(C16,"52 week low",TRUE)</f>
        <v>195.732</v>
      </c>
      <c r="AD16" s="46" t="str" cm="1">
        <f t="array" aca="1" ref="AD16" ca="1">_FV(C16,"Industry")</f>
        <v>Investment Banking &amp; Investment Services</v>
      </c>
    </row>
    <row r="17" spans="2:34" x14ac:dyDescent="0.35">
      <c r="B17" s="33" t="s">
        <v>54</v>
      </c>
      <c r="C17" s="48" t="e" vm="12">
        <v>#VALUE!</v>
      </c>
      <c r="D17" s="49" t="str" cm="1">
        <f t="array" aca="1" ref="D17" ca="1">_FV(C17,"Official name",TRUE)</f>
        <v>SERAPHIM SPACE INVESTMENT TRUST PLC</v>
      </c>
      <c r="E17" s="36">
        <v>114.307</v>
      </c>
      <c r="F17" s="36">
        <v>140.9</v>
      </c>
      <c r="G17" s="36">
        <f t="shared" si="0"/>
        <v>161.05856300000002</v>
      </c>
      <c r="H17" s="36">
        <f t="shared" ca="1" si="1"/>
        <v>156.029055</v>
      </c>
      <c r="I17" s="36" cm="1">
        <f t="array" aca="1" ref="I17" ca="1">_FV(C17,"Price")</f>
        <v>136.5</v>
      </c>
      <c r="J17" s="50">
        <f t="shared" ca="1" si="2"/>
        <v>-5.0295080000000212</v>
      </c>
      <c r="K17" s="38">
        <f t="shared" ca="1" si="3"/>
        <v>-3.1227821149751724E-2</v>
      </c>
      <c r="L17" s="39" cm="1">
        <f t="array" aca="1" ref="L17" ca="1">_FV(C17,"Change")</f>
        <v>-8</v>
      </c>
      <c r="M17" s="38" cm="1">
        <f t="array" aca="1" ref="M17" ca="1">_FV(C17,"Change (%)",TRUE)</f>
        <v>-5.5362999999999996E-2</v>
      </c>
      <c r="N17" s="40">
        <f t="shared" ca="1" si="9"/>
        <v>-8.9166852233690008</v>
      </c>
      <c r="O17" s="41">
        <v>119.765</v>
      </c>
      <c r="P17" s="38">
        <f t="shared" si="4"/>
        <v>-0.15000000000000002</v>
      </c>
      <c r="Q17" s="40">
        <f t="shared" si="5"/>
        <v>-24.158784450000006</v>
      </c>
      <c r="R17" s="42">
        <f t="shared" ca="1" si="6"/>
        <v>-0.12260073260073256</v>
      </c>
      <c r="S17" s="36">
        <f t="shared" ca="1" si="10"/>
        <v>119.765</v>
      </c>
      <c r="T17" s="36">
        <f t="shared" ca="1" si="11"/>
        <v>117.36969999999999</v>
      </c>
      <c r="U17" s="38">
        <f t="shared" ca="1" si="7"/>
        <v>-0.15000000000000002</v>
      </c>
      <c r="V17" s="40">
        <f t="shared" ca="1" si="8"/>
        <v>-24.158784450000006</v>
      </c>
      <c r="W17" s="42">
        <f t="shared" ca="1" si="12"/>
        <v>-0.12260073260073256</v>
      </c>
      <c r="X17" s="36" t="str">
        <f t="shared" ca="1" si="13"/>
        <v>OK</v>
      </c>
      <c r="Y17" s="43"/>
      <c r="Z17" s="44" cm="1">
        <f t="array" aca="1" ref="Z17" ca="1">_FV(C17,"P/E",TRUE)</f>
        <v>6.0430000000000001</v>
      </c>
      <c r="AA17" s="45" cm="1">
        <f t="array" aca="1" ref="AA17" ca="1">_FV(C17,"Market cap",TRUE)/1000000</f>
        <v>352.23989999999998</v>
      </c>
      <c r="AB17" s="44" cm="1">
        <f t="array" aca="1" ref="AB17" ca="1">_FV(C17,"52 week high",TRUE)</f>
        <v>153</v>
      </c>
      <c r="AC17" s="44" cm="1">
        <f t="array" aca="1" ref="AC17" ca="1">_FV(C17,"52 week low",TRUE)</f>
        <v>44.8</v>
      </c>
      <c r="AD17" s="46" t="str" cm="1">
        <f t="array" aca="1" ref="AD17" ca="1">_FV(C17,"Industry")</f>
        <v>Collective Investments</v>
      </c>
    </row>
    <row r="18" spans="2:34" x14ac:dyDescent="0.35">
      <c r="B18" s="33" t="s">
        <v>55</v>
      </c>
      <c r="C18" s="48" t="e" vm="13">
        <v>#VALUE!</v>
      </c>
      <c r="D18" s="49" t="str" cm="1">
        <f t="array" aca="1" ref="D18" ca="1">_FV(C18,"Official name",TRUE)</f>
        <v>INVESTEC PLC</v>
      </c>
      <c r="E18" s="36">
        <v>24</v>
      </c>
      <c r="F18" s="36">
        <v>619</v>
      </c>
      <c r="G18" s="36">
        <f t="shared" si="0"/>
        <v>148.56</v>
      </c>
      <c r="H18" s="36">
        <f t="shared" ca="1" si="1"/>
        <v>149.28</v>
      </c>
      <c r="I18" s="36" cm="1">
        <f t="array" aca="1" ref="I18" ca="1">_FV(C18,"Price")</f>
        <v>622</v>
      </c>
      <c r="J18" s="50">
        <f t="shared" ca="1" si="2"/>
        <v>0.71999999999999886</v>
      </c>
      <c r="K18" s="38">
        <f t="shared" ca="1" si="3"/>
        <v>4.8465266558965995E-3</v>
      </c>
      <c r="L18" s="39" cm="1">
        <f t="array" aca="1" ref="L18" ca="1">_FV(C18,"Change")</f>
        <v>-2.5</v>
      </c>
      <c r="M18" s="38" cm="1">
        <f t="array" aca="1" ref="M18" ca="1">_FV(C18,"Change (%)",TRUE)</f>
        <v>-4.0029999999999996E-3</v>
      </c>
      <c r="N18" s="40">
        <f t="shared" ca="1" si="9"/>
        <v>-0.59468567999999999</v>
      </c>
      <c r="O18" s="41">
        <v>526.15</v>
      </c>
      <c r="P18" s="38">
        <f t="shared" si="4"/>
        <v>-0.15000000000000002</v>
      </c>
      <c r="Q18" s="40">
        <f t="shared" si="5"/>
        <v>-22.284000000000002</v>
      </c>
      <c r="R18" s="42">
        <f t="shared" ca="1" si="6"/>
        <v>-0.15409967845659167</v>
      </c>
      <c r="S18" s="36">
        <f t="shared" ca="1" si="10"/>
        <v>526.15</v>
      </c>
      <c r="T18" s="36">
        <f t="shared" ca="1" si="11"/>
        <v>515.62699999999995</v>
      </c>
      <c r="U18" s="38">
        <f t="shared" ca="1" si="7"/>
        <v>-0.15000000000000002</v>
      </c>
      <c r="V18" s="40">
        <f t="shared" ca="1" si="8"/>
        <v>-22.284000000000002</v>
      </c>
      <c r="W18" s="42">
        <f t="shared" ca="1" si="12"/>
        <v>-0.15409967845659167</v>
      </c>
      <c r="X18" s="36" t="str">
        <f t="shared" ca="1" si="13"/>
        <v>OK</v>
      </c>
      <c r="Y18" s="43"/>
      <c r="Z18" s="44" cm="1">
        <f t="array" aca="1" ref="Z18" ca="1">_FV(C18,"P/E",TRUE)</f>
        <v>8.4031000000000002</v>
      </c>
      <c r="AA18" s="45" cm="1">
        <f t="array" aca="1" ref="AA18" ca="1">_FV(C18,"Market cap",TRUE)/1000000</f>
        <v>5409.018</v>
      </c>
      <c r="AB18" s="44" cm="1">
        <f t="array" aca="1" ref="AB18" ca="1">_FV(C18,"52 week high",TRUE)</f>
        <v>637</v>
      </c>
      <c r="AC18" s="44" cm="1">
        <f t="array" aca="1" ref="AC18" ca="1">_FV(C18,"52 week low",TRUE)</f>
        <v>390</v>
      </c>
      <c r="AD18" s="46" t="str" cm="1">
        <f t="array" aca="1" ref="AD18" ca="1">_FV(C18,"Industry")</f>
        <v>Investment Banking &amp; Investment Services</v>
      </c>
    </row>
    <row r="19" spans="2:34" x14ac:dyDescent="0.35">
      <c r="B19" s="33" t="s">
        <v>56</v>
      </c>
      <c r="C19" s="48" t="e" vm="14">
        <v>#VALUE!</v>
      </c>
      <c r="D19" s="49" t="str" cm="1">
        <f t="array" aca="1" ref="D19" ca="1">_FV(C19,"Official name",TRUE)</f>
        <v>HSBC HOLDINGS PLC</v>
      </c>
      <c r="E19" s="36">
        <v>11</v>
      </c>
      <c r="F19" s="36">
        <v>1310</v>
      </c>
      <c r="G19" s="36">
        <f t="shared" si="0"/>
        <v>144.1</v>
      </c>
      <c r="H19" s="36">
        <f t="shared" ca="1" si="1"/>
        <v>143.59400000000002</v>
      </c>
      <c r="I19" s="36" cm="1">
        <f t="array" aca="1" ref="I19" ca="1">_FV(C19,"Price")</f>
        <v>1305.4000000000001</v>
      </c>
      <c r="J19" s="50">
        <f t="shared" ca="1" si="2"/>
        <v>-0.50599999999997181</v>
      </c>
      <c r="K19" s="38">
        <f t="shared" ca="1" si="3"/>
        <v>-3.5114503816791936E-3</v>
      </c>
      <c r="L19" s="39" cm="1">
        <f t="array" aca="1" ref="L19" ca="1">_FV(C19,"Change")</f>
        <v>-0.6</v>
      </c>
      <c r="M19" s="38" cm="1">
        <f t="array" aca="1" ref="M19" ca="1">_FV(C19,"Change (%)",TRUE)</f>
        <v>-4.594E-4</v>
      </c>
      <c r="N19" s="40">
        <f t="shared" ca="1" si="9"/>
        <v>-6.6199540000000001E-2</v>
      </c>
      <c r="O19" s="41">
        <v>1113.5</v>
      </c>
      <c r="P19" s="38">
        <f t="shared" si="4"/>
        <v>-0.15000000000000002</v>
      </c>
      <c r="Q19" s="40">
        <f t="shared" si="5"/>
        <v>-21.615000000000002</v>
      </c>
      <c r="R19" s="42">
        <f t="shared" ca="1" si="6"/>
        <v>-0.14700474950206843</v>
      </c>
      <c r="S19" s="36">
        <f t="shared" ca="1" si="10"/>
        <v>1113.5</v>
      </c>
      <c r="T19" s="36">
        <f t="shared" ca="1" si="11"/>
        <v>1091.23</v>
      </c>
      <c r="U19" s="38">
        <f t="shared" ca="1" si="7"/>
        <v>-0.15000000000000002</v>
      </c>
      <c r="V19" s="40">
        <f t="shared" ca="1" si="8"/>
        <v>-21.615000000000002</v>
      </c>
      <c r="W19" s="42">
        <f t="shared" ca="1" si="12"/>
        <v>-0.14700474950206843</v>
      </c>
      <c r="X19" s="36" t="str">
        <f t="shared" ca="1" si="13"/>
        <v>OK</v>
      </c>
      <c r="Y19" s="43"/>
      <c r="Z19" s="44" cm="1">
        <f t="array" aca="1" ref="Z19" ca="1">_FV(C19,"P/E",TRUE)</f>
        <v>18.477599999999999</v>
      </c>
      <c r="AA19" s="45" cm="1">
        <f t="array" aca="1" ref="AA19" ca="1">_FV(C19,"Market cap",TRUE)/1000000</f>
        <v>208937.7</v>
      </c>
      <c r="AB19" s="44" cm="1">
        <f t="array" aca="1" ref="AB19" ca="1">_FV(C19,"52 week high",TRUE)</f>
        <v>1320.4</v>
      </c>
      <c r="AC19" s="44" cm="1">
        <f t="array" aca="1" ref="AC19" ca="1">_FV(C19,"52 week low",TRUE)</f>
        <v>698.7</v>
      </c>
      <c r="AD19" s="46" t="str" cm="1">
        <f t="array" aca="1" ref="AD19" ca="1">_FV(C19,"Industry")</f>
        <v>Banking Services</v>
      </c>
    </row>
    <row r="20" spans="2:34" x14ac:dyDescent="0.35">
      <c r="B20" s="33" t="s">
        <v>57</v>
      </c>
      <c r="C20" t="e" vm="15">
        <v>#VALUE!</v>
      </c>
      <c r="D20" s="35" t="s">
        <v>58</v>
      </c>
      <c r="E20" s="36">
        <v>61</v>
      </c>
      <c r="F20" s="36">
        <f>(2976.49/E20)*100</f>
        <v>4879.4918032786882</v>
      </c>
      <c r="G20" s="36">
        <f t="shared" si="0"/>
        <v>2976.49</v>
      </c>
      <c r="H20" s="36">
        <f t="shared" ca="1" si="1"/>
        <v>4407.25</v>
      </c>
      <c r="I20" s="36" cm="1">
        <f t="array" aca="1" ref="I20" ca="1">_FV(C20,"Price")</f>
        <v>7225</v>
      </c>
      <c r="J20" s="37">
        <f t="shared" ca="1" si="2"/>
        <v>1430.7600000000002</v>
      </c>
      <c r="K20" s="38">
        <f t="shared" ca="1" si="3"/>
        <v>0.48068698366196438</v>
      </c>
      <c r="L20" s="39" cm="1">
        <f t="array" aca="1" ref="L20" ca="1">_FV(C20,"Change")</f>
        <v>97</v>
      </c>
      <c r="M20" s="38" cm="1">
        <f t="array" aca="1" ref="M20" ca="1">_FV(C20,"Change (%)",TRUE)</f>
        <v>1.3608E-2</v>
      </c>
      <c r="N20" s="40">
        <f t="shared" ca="1" si="9"/>
        <v>40.504075919999998</v>
      </c>
      <c r="O20" s="41">
        <v>6109</v>
      </c>
      <c r="P20" s="38">
        <f t="shared" si="4"/>
        <v>0.25197464127210245</v>
      </c>
      <c r="Q20" s="40">
        <f t="shared" si="5"/>
        <v>750.00000000000011</v>
      </c>
      <c r="R20" s="42">
        <f t="shared" ca="1" si="6"/>
        <v>-0.15446366782006915</v>
      </c>
      <c r="S20" s="36">
        <f t="shared" ca="1" si="10"/>
        <v>6141.25</v>
      </c>
      <c r="T20" s="51">
        <f t="shared" ca="1" si="11"/>
        <v>6018.4250000000002</v>
      </c>
      <c r="U20" s="38">
        <f t="shared" ca="1" si="7"/>
        <v>0.25858393611266961</v>
      </c>
      <c r="V20" s="40">
        <f t="shared" ca="1" si="8"/>
        <v>769.6724999999999</v>
      </c>
      <c r="W20" s="42">
        <f t="shared" ca="1" si="12"/>
        <v>-0.15000000000000002</v>
      </c>
      <c r="X20" s="36" t="str">
        <f t="shared" ca="1" si="13"/>
        <v>OK</v>
      </c>
      <c r="Y20" s="43"/>
      <c r="Z20" s="52"/>
      <c r="AA20" s="53"/>
      <c r="AB20" s="44" cm="1">
        <f t="array" aca="1" ref="AB20" ca="1">_FV(C20,"52 week high",TRUE)</f>
        <v>7793</v>
      </c>
      <c r="AC20" s="44" cm="1">
        <f t="array" aca="1" ref="AC20" ca="1">_FV(C20,"52 week low",TRUE)</f>
        <v>2136.299</v>
      </c>
      <c r="AD20" s="54"/>
    </row>
    <row r="21" spans="2:34" x14ac:dyDescent="0.35">
      <c r="B21" s="33" t="s">
        <v>56</v>
      </c>
      <c r="C21" s="48" t="e" vm="16">
        <v>#VALUE!</v>
      </c>
      <c r="D21" s="35" t="s">
        <v>59</v>
      </c>
      <c r="E21" s="36">
        <v>54</v>
      </c>
      <c r="F21" s="36">
        <f>4180.76/54*100</f>
        <v>7742.1481481481478</v>
      </c>
      <c r="G21" s="36">
        <f t="shared" si="0"/>
        <v>4180.76</v>
      </c>
      <c r="H21" s="36">
        <f t="shared" ca="1" si="1"/>
        <v>5211.54</v>
      </c>
      <c r="I21" s="36" cm="1">
        <f t="array" aca="1" ref="I21" ca="1">_FV(C21,"Price")*100</f>
        <v>9651</v>
      </c>
      <c r="J21" s="37">
        <f t="shared" ca="1" si="2"/>
        <v>1030.7799999999997</v>
      </c>
      <c r="K21" s="38">
        <f t="shared" ca="1" si="3"/>
        <v>0.2465532582592638</v>
      </c>
      <c r="L21" s="39" cm="1">
        <f t="array" aca="1" ref="L21" ca="1">_FV(C21,"Change")</f>
        <v>-0.16500000000000001</v>
      </c>
      <c r="M21" s="38" cm="1">
        <f t="array" aca="1" ref="M21" ca="1">_FV(C21,"Change (%)",TRUE)</f>
        <v>-1.707E-3</v>
      </c>
      <c r="N21" s="40">
        <f t="shared" ca="1" si="9"/>
        <v>-7.1365573200000005</v>
      </c>
      <c r="O21" s="41">
        <f>88.48*100</f>
        <v>8848</v>
      </c>
      <c r="P21" s="38">
        <f t="shared" si="4"/>
        <v>0.14283527396932616</v>
      </c>
      <c r="Q21" s="40">
        <f t="shared" si="5"/>
        <v>597.16000000000008</v>
      </c>
      <c r="R21" s="42">
        <f t="shared" ca="1" si="6"/>
        <v>-8.3203813076365152E-2</v>
      </c>
      <c r="S21" s="36">
        <f t="shared" ca="1" si="10"/>
        <v>8516.3629629629631</v>
      </c>
      <c r="T21" s="36">
        <f t="shared" ca="1" si="11"/>
        <v>8346.0357037037029</v>
      </c>
      <c r="U21" s="38">
        <f t="shared" ca="1" si="7"/>
        <v>0.10000000000000009</v>
      </c>
      <c r="V21" s="40">
        <f t="shared" ca="1" si="8"/>
        <v>418.07600000000042</v>
      </c>
      <c r="W21" s="42">
        <f t="shared" ca="1" si="12"/>
        <v>-0.11756678448212998</v>
      </c>
      <c r="X21" s="36" t="str">
        <f t="shared" ca="1" si="13"/>
        <v>OK</v>
      </c>
      <c r="Y21" s="43"/>
      <c r="Z21" s="52"/>
      <c r="AA21" s="53"/>
      <c r="AB21" s="44" cm="1">
        <f t="array" aca="1" ref="AB21" ca="1">_FV(C21,"52 week high",TRUE)</f>
        <v>107.01</v>
      </c>
      <c r="AC21" s="44" cm="1">
        <f t="array" aca="1" ref="AC21" ca="1">_FV(C21,"52 week low",TRUE)</f>
        <v>70.599999999999994</v>
      </c>
      <c r="AD21" s="54"/>
    </row>
    <row r="22" spans="2:34" x14ac:dyDescent="0.35">
      <c r="B22" s="55"/>
      <c r="C22" s="56"/>
      <c r="D22" s="57" t="s">
        <v>60</v>
      </c>
      <c r="E22" s="58"/>
      <c r="F22" s="58"/>
      <c r="G22" s="58">
        <f>SUM(G6:G21)</f>
        <v>39188.462696999995</v>
      </c>
      <c r="H22" s="58">
        <f ca="1">SUM(H6:H21)</f>
        <v>44301.587719999996</v>
      </c>
      <c r="I22" s="58"/>
      <c r="J22" s="59">
        <f ca="1">SUM(J6:J21)</f>
        <v>5113.1250229999987</v>
      </c>
      <c r="K22" s="60">
        <f ca="1">J22/G22</f>
        <v>0.13047526417491812</v>
      </c>
      <c r="L22" s="61"/>
      <c r="M22" s="60">
        <f ca="1">N22/G22</f>
        <v>1.0721902646699453E-2</v>
      </c>
      <c r="N22" s="58">
        <f ca="1">SUM(N6:N21)</f>
        <v>420.17488191104701</v>
      </c>
      <c r="O22" s="58"/>
      <c r="P22" s="62"/>
      <c r="Q22" s="59">
        <f>SUM(Q6:Q21)</f>
        <v>-417.59771845000103</v>
      </c>
      <c r="R22" s="62"/>
      <c r="S22" s="58"/>
      <c r="T22" s="58"/>
      <c r="U22" s="62"/>
      <c r="V22" s="59">
        <f ca="1">SUM(V6:V21)</f>
        <v>-708.55477775000008</v>
      </c>
      <c r="W22" s="62"/>
      <c r="X22" s="62"/>
      <c r="Y22" s="43"/>
      <c r="Z22" s="63"/>
      <c r="AA22" s="64"/>
      <c r="AB22" s="65"/>
      <c r="AC22" s="66"/>
      <c r="AD22" s="54"/>
    </row>
    <row r="23" spans="2:34" x14ac:dyDescent="0.35">
      <c r="Z23" s="1"/>
    </row>
    <row r="24" spans="2:34" s="13" customFormat="1" ht="25" customHeight="1" x14ac:dyDescent="0.35">
      <c r="B24" s="67" t="s">
        <v>61</v>
      </c>
      <c r="C24" s="67"/>
      <c r="D24" s="67"/>
      <c r="E24" s="67"/>
      <c r="F24" s="67"/>
      <c r="G24" s="67"/>
      <c r="H24" s="67"/>
      <c r="I24" s="67"/>
      <c r="J24" s="67"/>
      <c r="K24" s="67"/>
      <c r="L24" s="67"/>
      <c r="M24" s="67"/>
      <c r="N24" s="67"/>
      <c r="O24" s="67"/>
      <c r="P24" s="67"/>
      <c r="Q24" s="67"/>
      <c r="R24" s="67"/>
      <c r="S24" s="67"/>
      <c r="T24" s="67"/>
      <c r="U24" s="67"/>
      <c r="V24" s="67"/>
      <c r="W24" s="67"/>
      <c r="X24" s="67"/>
      <c r="Y24" s="67"/>
      <c r="Z24" s="68"/>
      <c r="AA24" s="67"/>
      <c r="AB24" s="67"/>
      <c r="AC24" s="67"/>
      <c r="AD24" s="67"/>
    </row>
    <row r="25" spans="2:34" x14ac:dyDescent="0.35">
      <c r="Z25" s="1"/>
    </row>
    <row r="26" spans="2:34" s="30" customFormat="1" ht="26.5" customHeight="1" x14ac:dyDescent="0.35">
      <c r="B26" s="22" t="s">
        <v>8</v>
      </c>
      <c r="C26" s="23" t="s">
        <v>9</v>
      </c>
      <c r="D26" s="24" t="s">
        <v>9</v>
      </c>
      <c r="E26" s="22" t="s">
        <v>10</v>
      </c>
      <c r="F26" s="22" t="s">
        <v>11</v>
      </c>
      <c r="G26" s="22" t="s">
        <v>12</v>
      </c>
      <c r="H26" s="22" t="s">
        <v>13</v>
      </c>
      <c r="I26" s="22" t="s">
        <v>14</v>
      </c>
      <c r="J26" s="25" t="s">
        <v>1</v>
      </c>
      <c r="K26" s="25" t="s">
        <v>15</v>
      </c>
      <c r="L26" s="22" t="s">
        <v>16</v>
      </c>
      <c r="M26" s="26" t="s">
        <v>17</v>
      </c>
      <c r="N26" s="26" t="s">
        <v>18</v>
      </c>
      <c r="O26" s="22" t="s">
        <v>19</v>
      </c>
      <c r="P26" s="22" t="s">
        <v>20</v>
      </c>
      <c r="Q26" s="22" t="s">
        <v>21</v>
      </c>
      <c r="R26" s="22" t="s">
        <v>22</v>
      </c>
      <c r="S26" s="22" t="s">
        <v>23</v>
      </c>
      <c r="T26" s="22" t="s">
        <v>24</v>
      </c>
      <c r="U26" s="22" t="s">
        <v>25</v>
      </c>
      <c r="V26" s="22" t="s">
        <v>26</v>
      </c>
      <c r="W26" s="22" t="s">
        <v>27</v>
      </c>
      <c r="X26" s="27" t="s">
        <v>28</v>
      </c>
      <c r="Y26" s="28"/>
      <c r="Z26" s="25" t="s">
        <v>29</v>
      </c>
      <c r="AA26" s="22" t="s">
        <v>30</v>
      </c>
      <c r="AB26" s="22" t="s">
        <v>31</v>
      </c>
      <c r="AC26" s="22" t="s">
        <v>32</v>
      </c>
      <c r="AD26" s="29" t="s">
        <v>33</v>
      </c>
      <c r="AG26" s="31"/>
      <c r="AH26" s="32"/>
    </row>
    <row r="27" spans="2:34" x14ac:dyDescent="0.35">
      <c r="B27" s="33" t="s">
        <v>51</v>
      </c>
      <c r="C27" s="48" t="e" vm="9">
        <v>#VALUE!</v>
      </c>
      <c r="D27" s="35" t="str" cm="1">
        <f t="array" aca="1" ref="D27" ca="1">_FV(C27,"Official name",TRUE)</f>
        <v>M.P. EVANS GROUP PLC</v>
      </c>
      <c r="E27" s="36">
        <v>229</v>
      </c>
      <c r="F27" s="36">
        <f>13.0664*100</f>
        <v>1306.6399999999999</v>
      </c>
      <c r="G27" s="36">
        <f t="shared" ref="G27:G33" si="14">F27*E27/100</f>
        <v>2992.2055999999998</v>
      </c>
      <c r="H27" s="36">
        <f t="shared" ref="H27:H33" ca="1" si="15">I27*E27/100</f>
        <v>3492.25</v>
      </c>
      <c r="I27" s="36" cm="1">
        <f t="array" aca="1" ref="I27" ca="1">_FV(C27,"Price")</f>
        <v>1525</v>
      </c>
      <c r="J27" s="37">
        <f t="shared" ref="J27:J33" ca="1" si="16">H27-G27</f>
        <v>500.04440000000022</v>
      </c>
      <c r="K27" s="38">
        <f t="shared" ref="K27:K34" ca="1" si="17">J27/G27</f>
        <v>0.16711565542153931</v>
      </c>
      <c r="L27" s="39" cm="1">
        <f t="array" aca="1" ref="L27" ca="1">_FV(C27,"Change")</f>
        <v>145</v>
      </c>
      <c r="M27" s="38" cm="1">
        <f t="array" aca="1" ref="M27" ca="1">_FV(C27,"Change (%)",TRUE)</f>
        <v>0.105072</v>
      </c>
      <c r="N27" s="40">
        <f ca="1">M27*G27</f>
        <v>314.39702680319999</v>
      </c>
      <c r="O27" s="41">
        <v>1372</v>
      </c>
      <c r="P27" s="38">
        <f t="shared" ref="P27:P33" si="18">O27/F27-1</f>
        <v>5.002142900875528E-2</v>
      </c>
      <c r="Q27" s="40">
        <f t="shared" ref="Q27:Q33" si="19">P27*G27</f>
        <v>149.67439999999999</v>
      </c>
      <c r="R27" s="42">
        <f t="shared" ref="R27:R33" ca="1" si="20">O27/I27-1</f>
        <v>-0.10032786885245903</v>
      </c>
      <c r="S27" s="36">
        <f t="shared" ref="S27:S33" ca="1" si="21">IF(K27&lt;0.1,O27,IF(K27&lt;0.125,F27*1,IF(K27&lt;0.15,F27*1.02,IF(K27&lt;0.2,F27*1.05,IF(K27&lt;0.3,F27*1.1,I27*0.85)))))</f>
        <v>1371.972</v>
      </c>
      <c r="T27" s="36">
        <f t="shared" ref="T27:T33" ca="1" si="22">S27*0.98</f>
        <v>1344.5325599999999</v>
      </c>
      <c r="U27" s="38">
        <f t="shared" ref="U27:U33" ca="1" si="23">S27/F27-1</f>
        <v>5.0000000000000044E-2</v>
      </c>
      <c r="V27" s="40">
        <f t="shared" ref="V27:V33" ca="1" si="24">U27*G27</f>
        <v>149.61028000000013</v>
      </c>
      <c r="W27" s="42">
        <f ca="1">S27/I27-1</f>
        <v>-0.10034622950819672</v>
      </c>
      <c r="X27" s="36" t="str">
        <f t="shared" ref="X27:X33" ca="1" si="25">IF(OR(S27&lt;=O27,ABS(R27)-ABS(W27)&lt;1%),"OK","RAISE")</f>
        <v>OK</v>
      </c>
      <c r="Y27" s="43"/>
      <c r="Z27" s="44" cm="1">
        <f t="array" aca="1" ref="Z27" ca="1">_FV(C27,"P/E",TRUE)</f>
        <v>10.1647</v>
      </c>
      <c r="AA27" s="45" cm="1">
        <f t="array" aca="1" ref="AA27" ca="1">_FV(C27,"Market cap",TRUE)/1000000</f>
        <v>657.82010000000002</v>
      </c>
      <c r="AB27" s="44" cm="1">
        <f t="array" aca="1" ref="AB27" ca="1">_FV(C27,"52 week high",TRUE)</f>
        <v>1525</v>
      </c>
      <c r="AC27" s="44" cm="1">
        <f t="array" aca="1" ref="AC27" ca="1">_FV(C27,"52 week low",TRUE)</f>
        <v>912</v>
      </c>
      <c r="AD27" s="46" t="str" cm="1">
        <f t="array" aca="1" ref="AD27" ca="1">_FV(C27,"Industry")</f>
        <v>Food &amp; Tobacco</v>
      </c>
      <c r="AG27" s="31"/>
      <c r="AH27" s="47"/>
    </row>
    <row r="28" spans="2:34" x14ac:dyDescent="0.35">
      <c r="B28" s="33" t="s">
        <v>36</v>
      </c>
      <c r="C28" s="34" t="e" vm="1">
        <v>#VALUE!</v>
      </c>
      <c r="D28" s="35" t="str" cm="1">
        <f t="array" aca="1" ref="D28" ca="1">_FV(C28,"Official name",TRUE)</f>
        <v>CMC MARKETS PLC</v>
      </c>
      <c r="E28" s="36">
        <v>1063</v>
      </c>
      <c r="F28" s="36">
        <f>3.2752*100</f>
        <v>327.52</v>
      </c>
      <c r="G28" s="36">
        <f t="shared" si="14"/>
        <v>3481.5376000000001</v>
      </c>
      <c r="H28" s="36">
        <f t="shared" ca="1" si="15"/>
        <v>3316.56</v>
      </c>
      <c r="I28" s="36" cm="1">
        <f t="array" aca="1" ref="I28" ca="1">_FV(C28,"Price")</f>
        <v>312</v>
      </c>
      <c r="J28" s="37">
        <f t="shared" ca="1" si="16"/>
        <v>-164.97760000000017</v>
      </c>
      <c r="K28" s="38">
        <f t="shared" ca="1" si="17"/>
        <v>-4.7386419149975621E-2</v>
      </c>
      <c r="L28" s="39" cm="1">
        <f t="array" aca="1" ref="L28" ca="1">_FV(C28,"Change")</f>
        <v>-14.5</v>
      </c>
      <c r="M28" s="38" cm="1">
        <f t="array" aca="1" ref="M28" ca="1">_FV(C28,"Change (%)",TRUE)</f>
        <v>-4.4409999999999998E-2</v>
      </c>
      <c r="N28" s="40">
        <f t="shared" ref="N28:N33" ca="1" si="26">M28*G28</f>
        <v>-154.61508481600001</v>
      </c>
      <c r="O28" s="41">
        <f>2.69*100</f>
        <v>269</v>
      </c>
      <c r="P28" s="38">
        <f t="shared" si="18"/>
        <v>-0.17867611138251094</v>
      </c>
      <c r="Q28" s="40">
        <f t="shared" si="19"/>
        <v>-622.06759999999986</v>
      </c>
      <c r="R28" s="42">
        <f t="shared" ca="1" si="20"/>
        <v>-0.13782051282051277</v>
      </c>
      <c r="S28" s="36">
        <f t="shared" ca="1" si="21"/>
        <v>269</v>
      </c>
      <c r="T28" s="36">
        <f t="shared" ca="1" si="22"/>
        <v>263.62</v>
      </c>
      <c r="U28" s="38">
        <f t="shared" ca="1" si="23"/>
        <v>-0.17867611138251094</v>
      </c>
      <c r="V28" s="40">
        <f t="shared" ca="1" si="24"/>
        <v>-622.06759999999986</v>
      </c>
      <c r="W28" s="42">
        <f t="shared" ref="W28:W33" ca="1" si="27">S28/I28-1</f>
        <v>-0.13782051282051277</v>
      </c>
      <c r="X28" s="36" t="str">
        <f t="shared" ca="1" si="25"/>
        <v>OK</v>
      </c>
      <c r="Y28" s="43"/>
      <c r="Z28" s="44" cm="1">
        <f t="array" aca="1" ref="Z28" ca="1">_FV(C28,"P/E",TRUE)</f>
        <v>13.6751</v>
      </c>
      <c r="AA28" s="45" cm="1">
        <f t="array" aca="1" ref="AA28" ca="1">_FV(C28,"Market cap",TRUE)/1000000</f>
        <v>867.42790000000002</v>
      </c>
      <c r="AB28" s="44" cm="1">
        <f t="array" aca="1" ref="AB28" ca="1">_FV(C28,"52 week high",TRUE)</f>
        <v>335.5</v>
      </c>
      <c r="AC28" s="44" cm="1">
        <f t="array" aca="1" ref="AC28" ca="1">_FV(C28,"52 week low",TRUE)</f>
        <v>183.4</v>
      </c>
      <c r="AD28" s="46" t="str" cm="1">
        <f t="array" aca="1" ref="AD28" ca="1">_FV(C28,"Industry")</f>
        <v>Investment Banking &amp; Investment Services</v>
      </c>
      <c r="AG28" s="31"/>
      <c r="AH28" s="47"/>
    </row>
    <row r="29" spans="2:34" x14ac:dyDescent="0.35">
      <c r="B29" s="33" t="s">
        <v>48</v>
      </c>
      <c r="C29" s="48" t="e" vm="6">
        <v>#VALUE!</v>
      </c>
      <c r="D29" s="35" t="str" cm="1">
        <f t="array" aca="1" ref="D29" ca="1">_FV(C29,"Official name",TRUE)</f>
        <v>KELLER GROUP PLC</v>
      </c>
      <c r="E29" s="36">
        <v>168</v>
      </c>
      <c r="F29" s="36">
        <f>17.7453*100</f>
        <v>1774.53</v>
      </c>
      <c r="G29" s="36">
        <f t="shared" si="14"/>
        <v>2981.2103999999999</v>
      </c>
      <c r="H29" s="36">
        <f t="shared" ca="1" si="15"/>
        <v>3212.16</v>
      </c>
      <c r="I29" s="36" cm="1">
        <f t="array" aca="1" ref="I29" ca="1">_FV(C29,"Price")</f>
        <v>1912</v>
      </c>
      <c r="J29" s="37">
        <f t="shared" ca="1" si="16"/>
        <v>230.94959999999992</v>
      </c>
      <c r="K29" s="38">
        <f t="shared" ca="1" si="17"/>
        <v>7.7468400083402333E-2</v>
      </c>
      <c r="L29" s="39" cm="1">
        <f t="array" aca="1" ref="L29" ca="1">_FV(C29,"Change")</f>
        <v>8</v>
      </c>
      <c r="M29" s="38" cm="1">
        <f t="array" aca="1" ref="M29" ca="1">_FV(C29,"Change (%)",TRUE)</f>
        <v>4.202E-3</v>
      </c>
      <c r="N29" s="40">
        <f t="shared" ca="1" si="26"/>
        <v>12.5270461008</v>
      </c>
      <c r="O29" s="41">
        <f>14.57*100</f>
        <v>1457</v>
      </c>
      <c r="P29" s="38">
        <f t="shared" si="18"/>
        <v>-0.1789375214845621</v>
      </c>
      <c r="Q29" s="40">
        <f t="shared" si="19"/>
        <v>-533.45039999999995</v>
      </c>
      <c r="R29" s="42">
        <f t="shared" ca="1" si="20"/>
        <v>-0.23797071129707115</v>
      </c>
      <c r="S29" s="36">
        <f t="shared" ca="1" si="21"/>
        <v>1457</v>
      </c>
      <c r="T29" s="36">
        <f t="shared" ca="1" si="22"/>
        <v>1427.86</v>
      </c>
      <c r="U29" s="38">
        <f t="shared" ca="1" si="23"/>
        <v>-0.1789375214845621</v>
      </c>
      <c r="V29" s="40">
        <f t="shared" ca="1" si="24"/>
        <v>-533.45039999999995</v>
      </c>
      <c r="W29" s="42">
        <f t="shared" ca="1" si="27"/>
        <v>-0.23797071129707115</v>
      </c>
      <c r="X29" s="36" t="str">
        <f t="shared" ca="1" si="25"/>
        <v>OK</v>
      </c>
      <c r="Y29" s="43"/>
      <c r="Z29" s="44" cm="1">
        <f t="array" aca="1" ref="Z29" ca="1">_FV(C29,"P/E",TRUE)</f>
        <v>9.7125000000000004</v>
      </c>
      <c r="AA29" s="45" cm="1">
        <f t="array" aca="1" ref="AA29" ca="1">_FV(C29,"Market cap",TRUE)/1000000</f>
        <v>1169.6220000000001</v>
      </c>
      <c r="AB29" s="44" cm="1">
        <f t="array" aca="1" ref="AB29" ca="1">_FV(C29,"52 week high",TRUE)</f>
        <v>1922</v>
      </c>
      <c r="AC29" s="44" cm="1">
        <f t="array" aca="1" ref="AC29" ca="1">_FV(C29,"52 week low",TRUE)</f>
        <v>1222</v>
      </c>
      <c r="AD29" s="46" t="str" cm="1">
        <f t="array" aca="1" ref="AD29" ca="1">_FV(C29,"Industry")</f>
        <v>Construction &amp; Engineering</v>
      </c>
      <c r="AG29" s="31"/>
      <c r="AH29" s="47"/>
    </row>
    <row r="30" spans="2:34" x14ac:dyDescent="0.35">
      <c r="B30" s="33" t="s">
        <v>52</v>
      </c>
      <c r="C30" s="48" t="e" vm="10">
        <v>#VALUE!</v>
      </c>
      <c r="D30" s="35" t="str" cm="1">
        <f t="array" aca="1" ref="D30" ca="1">_FV(C30,"Official name",TRUE)</f>
        <v>HUNTING PLC</v>
      </c>
      <c r="E30" s="36">
        <v>654</v>
      </c>
      <c r="F30" s="36">
        <f>4.56*100</f>
        <v>455.99999999999994</v>
      </c>
      <c r="G30" s="36">
        <f t="shared" si="14"/>
        <v>2982.2399999999993</v>
      </c>
      <c r="H30" s="36">
        <f t="shared" ca="1" si="15"/>
        <v>3162.09</v>
      </c>
      <c r="I30" s="36" cm="1">
        <f t="array" aca="1" ref="I30" ca="1">_FV(C30,"Price")</f>
        <v>483.5</v>
      </c>
      <c r="J30" s="37">
        <f t="shared" ca="1" si="16"/>
        <v>179.85000000000082</v>
      </c>
      <c r="K30" s="38">
        <f t="shared" ca="1" si="17"/>
        <v>6.0307017543859934E-2</v>
      </c>
      <c r="L30" s="39" cm="1">
        <f t="array" aca="1" ref="L30" ca="1">_FV(C30,"Change")</f>
        <v>8</v>
      </c>
      <c r="M30" s="38" cm="1">
        <f t="array" aca="1" ref="M30" ca="1">_FV(C30,"Change (%)",TRUE)</f>
        <v>1.6823999999999999E-2</v>
      </c>
      <c r="N30" s="40">
        <f t="shared" ca="1" si="26"/>
        <v>50.173205759999988</v>
      </c>
      <c r="O30" s="41">
        <f>3.75*100</f>
        <v>375</v>
      </c>
      <c r="P30" s="38">
        <f t="shared" si="18"/>
        <v>-0.17763157894736836</v>
      </c>
      <c r="Q30" s="40">
        <f t="shared" si="19"/>
        <v>-529.73999999999967</v>
      </c>
      <c r="R30" s="42">
        <f t="shared" ca="1" si="20"/>
        <v>-0.2244053774560496</v>
      </c>
      <c r="S30" s="36">
        <f t="shared" ca="1" si="21"/>
        <v>375</v>
      </c>
      <c r="T30" s="36">
        <f t="shared" ca="1" si="22"/>
        <v>367.5</v>
      </c>
      <c r="U30" s="38">
        <f t="shared" ca="1" si="23"/>
        <v>-0.17763157894736836</v>
      </c>
      <c r="V30" s="40">
        <f t="shared" ca="1" si="24"/>
        <v>-529.73999999999967</v>
      </c>
      <c r="W30" s="42">
        <f t="shared" ca="1" si="27"/>
        <v>-0.2244053774560496</v>
      </c>
      <c r="X30" s="36" t="str">
        <f t="shared" ca="1" si="25"/>
        <v>OK</v>
      </c>
      <c r="Y30" s="43"/>
      <c r="Z30" s="44" cm="1">
        <f t="array" aca="1" ref="Z30" ca="1">_FV(C30,"P/E",TRUE)</f>
        <v>0</v>
      </c>
      <c r="AA30" s="45" cm="1">
        <f t="array" aca="1" ref="AA30" ca="1">_FV(C30,"Market cap",TRUE)/1000000</f>
        <v>626.66610000000003</v>
      </c>
      <c r="AB30" s="44" cm="1">
        <f t="array" aca="1" ref="AB30" ca="1">_FV(C30,"52 week high",TRUE)</f>
        <v>485</v>
      </c>
      <c r="AC30" s="44" cm="1">
        <f t="array" aca="1" ref="AC30" ca="1">_FV(C30,"52 week low",TRUE)</f>
        <v>245</v>
      </c>
      <c r="AD30" s="46" t="str" cm="1">
        <f t="array" aca="1" ref="AD30" ca="1">_FV(C30,"Industry")</f>
        <v>Oil &amp; Gas Related Equipment and Services</v>
      </c>
      <c r="AG30" s="31"/>
      <c r="AH30" s="47"/>
    </row>
    <row r="31" spans="2:34" x14ac:dyDescent="0.35">
      <c r="B31" s="33" t="s">
        <v>53</v>
      </c>
      <c r="C31" s="48" t="e" vm="11">
        <v>#VALUE!</v>
      </c>
      <c r="D31" s="35" t="str" cm="1">
        <f t="array" aca="1" ref="D31" ca="1">_FV(C31,"Official name",TRUE)</f>
        <v>RAMSDENS HOLDINGS PLC.</v>
      </c>
      <c r="E31" s="36">
        <v>685</v>
      </c>
      <c r="F31" s="36">
        <f>4.375*100</f>
        <v>437.5</v>
      </c>
      <c r="G31" s="36">
        <f t="shared" si="14"/>
        <v>2996.875</v>
      </c>
      <c r="H31" s="36">
        <f t="shared" ca="1" si="15"/>
        <v>3048.25</v>
      </c>
      <c r="I31" s="36" cm="1">
        <f t="array" aca="1" ref="I31" ca="1">_FV(C31,"Price")</f>
        <v>445</v>
      </c>
      <c r="J31" s="37">
        <f t="shared" ca="1" si="16"/>
        <v>51.375</v>
      </c>
      <c r="K31" s="38">
        <f t="shared" ca="1" si="17"/>
        <v>1.7142857142857144E-2</v>
      </c>
      <c r="L31" s="39" cm="1">
        <f t="array" aca="1" ref="L31" ca="1">_FV(C31,"Change")</f>
        <v>5</v>
      </c>
      <c r="M31" s="38" cm="1">
        <f t="array" aca="1" ref="M31" ca="1">_FV(C31,"Change (%)",TRUE)</f>
        <v>1.1364000000000001E-2</v>
      </c>
      <c r="N31" s="40">
        <f t="shared" ca="1" si="26"/>
        <v>34.056487500000003</v>
      </c>
      <c r="O31" s="41">
        <f>4.37*0.85*100</f>
        <v>371.45</v>
      </c>
      <c r="P31" s="38">
        <f t="shared" si="18"/>
        <v>-0.15097142857142865</v>
      </c>
      <c r="Q31" s="40">
        <f t="shared" si="19"/>
        <v>-452.44250000000022</v>
      </c>
      <c r="R31" s="42">
        <f t="shared" ca="1" si="20"/>
        <v>-0.16528089887640451</v>
      </c>
      <c r="S31" s="36">
        <f t="shared" ca="1" si="21"/>
        <v>371.45</v>
      </c>
      <c r="T31" s="36">
        <f t="shared" ca="1" si="22"/>
        <v>364.02099999999996</v>
      </c>
      <c r="U31" s="38">
        <f t="shared" ca="1" si="23"/>
        <v>-0.15097142857142865</v>
      </c>
      <c r="V31" s="40">
        <f t="shared" ca="1" si="24"/>
        <v>-452.44250000000022</v>
      </c>
      <c r="W31" s="42">
        <f t="shared" ca="1" si="27"/>
        <v>-0.16528089887640451</v>
      </c>
      <c r="X31" s="36" t="str">
        <f t="shared" ca="1" si="25"/>
        <v>OK</v>
      </c>
      <c r="Y31" s="43"/>
      <c r="Z31" s="44" cm="1">
        <f t="array" aca="1" ref="Z31" ca="1">_FV(C31,"P/E",TRUE)</f>
        <v>12.0238</v>
      </c>
      <c r="AA31" s="45" cm="1">
        <f t="array" aca="1" ref="AA31" ca="1">_FV(C31,"Market cap",TRUE)/1000000</f>
        <v>135.89429999999999</v>
      </c>
      <c r="AB31" s="44" cm="1">
        <f t="array" aca="1" ref="AB31" ca="1">_FV(C31,"52 week high",TRUE)</f>
        <v>470</v>
      </c>
      <c r="AC31" s="44" cm="1">
        <f t="array" aca="1" ref="AC31" ca="1">_FV(C31,"52 week low",TRUE)</f>
        <v>195.732</v>
      </c>
      <c r="AD31" s="46" t="str" cm="1">
        <f t="array" aca="1" ref="AD31" ca="1">_FV(C31,"Industry")</f>
        <v>Investment Banking &amp; Investment Services</v>
      </c>
    </row>
    <row r="32" spans="2:34" x14ac:dyDescent="0.35">
      <c r="B32" s="33" t="s">
        <v>62</v>
      </c>
      <c r="C32" s="48" t="e" vm="17">
        <v>#VALUE!</v>
      </c>
      <c r="D32" s="35" t="str" cm="1">
        <f t="array" aca="1" ref="D32" ca="1">_FV(C32,"Official name",TRUE)</f>
        <v>SAFESTORE HOLDINGS PLC</v>
      </c>
      <c r="E32" s="36">
        <v>361</v>
      </c>
      <c r="F32" s="36">
        <f>8.2612*100</f>
        <v>826.12</v>
      </c>
      <c r="G32" s="36">
        <f t="shared" si="14"/>
        <v>2982.2932000000001</v>
      </c>
      <c r="H32" s="36">
        <f t="shared" ca="1" si="15"/>
        <v>2871.7550000000001</v>
      </c>
      <c r="I32" s="36" cm="1">
        <f t="array" aca="1" ref="I32" ca="1">_FV(C32,"Price")</f>
        <v>795.5</v>
      </c>
      <c r="J32" s="37">
        <f t="shared" ca="1" si="16"/>
        <v>-110.53819999999996</v>
      </c>
      <c r="K32" s="38">
        <f t="shared" ca="1" si="17"/>
        <v>-3.7064833196145827E-2</v>
      </c>
      <c r="L32" s="39" cm="1">
        <f t="array" aca="1" ref="L32" ca="1">_FV(C32,"Change")</f>
        <v>1.5</v>
      </c>
      <c r="M32" s="38" cm="1">
        <f t="array" aca="1" ref="M32" ca="1">_FV(C32,"Change (%)",TRUE)</f>
        <v>1.8890000000000001E-3</v>
      </c>
      <c r="N32" s="40">
        <f t="shared" ca="1" si="26"/>
        <v>5.6335518548000003</v>
      </c>
      <c r="O32" s="41">
        <f>6.5*100</f>
        <v>650</v>
      </c>
      <c r="P32" s="38">
        <f t="shared" si="18"/>
        <v>-0.21318936716215564</v>
      </c>
      <c r="Q32" s="40">
        <f t="shared" si="19"/>
        <v>-635.79320000000007</v>
      </c>
      <c r="R32" s="42">
        <f t="shared" ca="1" si="20"/>
        <v>-0.1829038340666248</v>
      </c>
      <c r="S32" s="36">
        <f t="shared" ca="1" si="21"/>
        <v>650</v>
      </c>
      <c r="T32" s="36">
        <f t="shared" ca="1" si="22"/>
        <v>637</v>
      </c>
      <c r="U32" s="38">
        <f t="shared" ca="1" si="23"/>
        <v>-0.21318936716215564</v>
      </c>
      <c r="V32" s="40">
        <f t="shared" ca="1" si="24"/>
        <v>-635.79320000000007</v>
      </c>
      <c r="W32" s="42">
        <f t="shared" ca="1" si="27"/>
        <v>-0.1829038340666248</v>
      </c>
      <c r="X32" s="36" t="str">
        <f t="shared" ca="1" si="25"/>
        <v>OK</v>
      </c>
      <c r="Y32" s="43"/>
      <c r="Z32" s="44" cm="1">
        <f t="array" aca="1" ref="Z32" ca="1">_FV(C32,"P/E",TRUE)</f>
        <v>15.641</v>
      </c>
      <c r="AA32" s="45" cm="1">
        <f t="array" aca="1" ref="AA32" ca="1">_FV(C32,"Market cap",TRUE)/1000000</f>
        <v>1676.915</v>
      </c>
      <c r="AB32" s="44" cm="1">
        <f t="array" aca="1" ref="AB32" ca="1">_FV(C32,"52 week high",TRUE)</f>
        <v>849.5</v>
      </c>
      <c r="AC32" s="44" cm="1">
        <f t="array" aca="1" ref="AC32" ca="1">_FV(C32,"52 week low",TRUE)</f>
        <v>525.5</v>
      </c>
      <c r="AD32" s="46" t="str" cm="1">
        <f t="array" aca="1" ref="AD32" ca="1">_FV(C32,"Industry")</f>
        <v>Residential &amp; Commercial REIT</v>
      </c>
    </row>
    <row r="33" spans="2:30" x14ac:dyDescent="0.35">
      <c r="B33" s="33" t="s">
        <v>62</v>
      </c>
      <c r="C33" s="48" t="e" vm="18">
        <v>#VALUE!</v>
      </c>
      <c r="D33" s="35" t="str" cm="1">
        <f t="array" aca="1" ref="D33" ca="1">_FV(C33,"Official name",TRUE)</f>
        <v>RIO TINTO PLC</v>
      </c>
      <c r="E33" s="36">
        <v>37</v>
      </c>
      <c r="F33" s="36">
        <f>2532.26/E33*100</f>
        <v>6843.9459459459467</v>
      </c>
      <c r="G33" s="36">
        <f t="shared" si="14"/>
        <v>2532.2600000000002</v>
      </c>
      <c r="H33" s="36">
        <f t="shared" ca="1" si="15"/>
        <v>2693.23</v>
      </c>
      <c r="I33" s="36" cm="1">
        <f t="array" aca="1" ref="I33" ca="1">_FV(C33,"Price")</f>
        <v>7279</v>
      </c>
      <c r="J33" s="37">
        <f t="shared" ca="1" si="16"/>
        <v>160.9699999999998</v>
      </c>
      <c r="K33" s="38">
        <f t="shared" ca="1" si="17"/>
        <v>6.3567722113842887E-2</v>
      </c>
      <c r="L33" s="39" cm="1">
        <f t="array" aca="1" ref="L33" ca="1">_FV(C33,"Change")</f>
        <v>196</v>
      </c>
      <c r="M33" s="38" cm="1">
        <f t="array" aca="1" ref="M33" ca="1">_FV(C33,"Change (%)",TRUE)</f>
        <v>2.7671999999999999E-2</v>
      </c>
      <c r="N33" s="40">
        <f t="shared" ca="1" si="26"/>
        <v>70.072698720000005</v>
      </c>
      <c r="O33" s="41">
        <f>F33*0.85</f>
        <v>5817.3540540540544</v>
      </c>
      <c r="P33" s="38">
        <f t="shared" si="18"/>
        <v>-0.15000000000000002</v>
      </c>
      <c r="Q33" s="40">
        <f t="shared" si="19"/>
        <v>-379.83900000000011</v>
      </c>
      <c r="R33" s="42">
        <f t="shared" ca="1" si="20"/>
        <v>-0.20080312487236507</v>
      </c>
      <c r="S33" s="36">
        <f t="shared" ca="1" si="21"/>
        <v>5817.3540540540544</v>
      </c>
      <c r="T33" s="36">
        <f t="shared" ca="1" si="22"/>
        <v>5701.006972972973</v>
      </c>
      <c r="U33" s="38">
        <f t="shared" ca="1" si="23"/>
        <v>-0.15000000000000002</v>
      </c>
      <c r="V33" s="40">
        <f t="shared" ca="1" si="24"/>
        <v>-379.83900000000011</v>
      </c>
      <c r="W33" s="42">
        <f t="shared" ca="1" si="27"/>
        <v>-0.20080312487236507</v>
      </c>
      <c r="X33" s="36" t="str">
        <f t="shared" ca="1" si="25"/>
        <v>OK</v>
      </c>
      <c r="Y33" s="43"/>
      <c r="Z33" s="44" cm="1">
        <f t="array" aca="1" ref="Z33" ca="1">_FV(C33,"P/E",TRUE)</f>
        <v>15.7256</v>
      </c>
      <c r="AA33" s="45" cm="1">
        <f t="array" aca="1" ref="AA33" ca="1">_FV(C33,"Market cap",TRUE)/1000000</f>
        <v>105195.6</v>
      </c>
      <c r="AB33" s="44" cm="1">
        <f t="array" aca="1" ref="AB33" ca="1">_FV(C33,"52 week high",TRUE)</f>
        <v>7320</v>
      </c>
      <c r="AC33" s="44" cm="1">
        <f t="array" aca="1" ref="AC33" ca="1">_FV(C33,"52 week low",TRUE)</f>
        <v>4024.5</v>
      </c>
      <c r="AD33" s="46" t="str" cm="1">
        <f t="array" aca="1" ref="AD33" ca="1">_FV(C33,"Industry")</f>
        <v>Metals &amp; Mining</v>
      </c>
    </row>
    <row r="34" spans="2:30" x14ac:dyDescent="0.35">
      <c r="B34" s="55"/>
      <c r="C34" s="56" t="e" vm="14">
        <v>#VALUE!</v>
      </c>
      <c r="D34" s="57" t="s">
        <v>60</v>
      </c>
      <c r="E34" s="58"/>
      <c r="F34" s="58"/>
      <c r="G34" s="58">
        <f>SUM(G27:G33)</f>
        <v>20948.621800000001</v>
      </c>
      <c r="H34" s="58">
        <f ca="1">SUM(H27:H33)</f>
        <v>21796.294999999998</v>
      </c>
      <c r="I34" s="58"/>
      <c r="J34" s="59">
        <f ca="1">SUM(J27:J32)</f>
        <v>686.70320000000083</v>
      </c>
      <c r="K34" s="60">
        <f t="shared" ca="1" si="17"/>
        <v>3.2780352166174524E-2</v>
      </c>
      <c r="L34" s="59"/>
      <c r="M34" s="60">
        <f ca="1">N34/G34</f>
        <v>1.5859989983818407E-2</v>
      </c>
      <c r="N34" s="59">
        <f ca="1">SUM(N27:N33)</f>
        <v>332.24493192279994</v>
      </c>
      <c r="O34" s="58"/>
      <c r="P34" s="62"/>
      <c r="Q34" s="59">
        <f>SUM(Q27:Q33)</f>
        <v>-3003.6582999999996</v>
      </c>
      <c r="R34" s="62"/>
      <c r="S34" s="58"/>
      <c r="T34" s="58"/>
      <c r="U34" s="62"/>
      <c r="V34" s="59">
        <f ca="1">SUM(V27:V33)</f>
        <v>-3003.7224199999996</v>
      </c>
      <c r="W34" s="62"/>
      <c r="X34" s="62"/>
      <c r="Y34" s="43"/>
      <c r="Z34" s="63"/>
      <c r="AA34" s="64"/>
      <c r="AB34" s="65"/>
      <c r="AC34" s="66"/>
      <c r="AD34" s="54"/>
    </row>
    <row r="36" spans="2:30" x14ac:dyDescent="0.35">
      <c r="Z36" s="1"/>
    </row>
    <row r="37" spans="2:30" x14ac:dyDescent="0.35">
      <c r="Z37" s="1"/>
    </row>
    <row r="38" spans="2:30" x14ac:dyDescent="0.35">
      <c r="Z38" s="1"/>
    </row>
    <row r="39" spans="2:30" x14ac:dyDescent="0.35">
      <c r="Z39" s="1"/>
    </row>
    <row r="40" spans="2:30" x14ac:dyDescent="0.35">
      <c r="Z40" s="1"/>
    </row>
    <row r="41" spans="2:30" x14ac:dyDescent="0.35">
      <c r="Z41" s="1"/>
    </row>
    <row r="42" spans="2:30" x14ac:dyDescent="0.35">
      <c r="Z42" s="1"/>
    </row>
    <row r="43" spans="2:30" x14ac:dyDescent="0.35">
      <c r="Z43" s="1"/>
    </row>
    <row r="44" spans="2:30" x14ac:dyDescent="0.35">
      <c r="Z44" s="1"/>
    </row>
    <row r="45" spans="2:30" x14ac:dyDescent="0.35">
      <c r="Z45" s="1"/>
    </row>
    <row r="46" spans="2:30" x14ac:dyDescent="0.35">
      <c r="Z46" s="1"/>
    </row>
    <row r="47" spans="2:30" x14ac:dyDescent="0.35">
      <c r="Z47" s="1"/>
    </row>
    <row r="48" spans="2:30" x14ac:dyDescent="0.35">
      <c r="Z48" s="1"/>
    </row>
    <row r="49" spans="26:26" x14ac:dyDescent="0.35">
      <c r="Z49" s="1"/>
    </row>
    <row r="50" spans="26:26" x14ac:dyDescent="0.35">
      <c r="Z50" s="1"/>
    </row>
    <row r="51" spans="26:26" x14ac:dyDescent="0.35">
      <c r="Z51" s="1"/>
    </row>
  </sheetData>
  <mergeCells count="3">
    <mergeCell ref="G1:H1"/>
    <mergeCell ref="J1:K1"/>
    <mergeCell ref="M1:N1"/>
  </mergeCells>
  <conditionalFormatting sqref="K6:K22">
    <cfRule type="cellIs" dxfId="20" priority="21" operator="lessThan">
      <formula>0</formula>
    </cfRule>
  </conditionalFormatting>
  <conditionalFormatting sqref="K27:K34">
    <cfRule type="cellIs" dxfId="19" priority="15" operator="lessThan">
      <formula>0</formula>
    </cfRule>
  </conditionalFormatting>
  <conditionalFormatting sqref="M27:M34">
    <cfRule type="cellIs" dxfId="18" priority="9" operator="lessThan">
      <formula>0</formula>
    </cfRule>
  </conditionalFormatting>
  <conditionalFormatting sqref="P34">
    <cfRule type="cellIs" dxfId="17" priority="13" operator="greaterThan">
      <formula>0</formula>
    </cfRule>
  </conditionalFormatting>
  <conditionalFormatting sqref="P22:R22">
    <cfRule type="cellIs" dxfId="16" priority="19" operator="greaterThan">
      <formula>0</formula>
    </cfRule>
  </conditionalFormatting>
  <conditionalFormatting sqref="Q6:Q21">
    <cfRule type="cellIs" dxfId="15" priority="6" operator="greaterThan">
      <formula>0</formula>
    </cfRule>
  </conditionalFormatting>
  <conditionalFormatting sqref="Q27:Q33">
    <cfRule type="cellIs" dxfId="14" priority="5" operator="greaterThan">
      <formula>0</formula>
    </cfRule>
  </conditionalFormatting>
  <conditionalFormatting sqref="R6:R21">
    <cfRule type="cellIs" dxfId="13" priority="4" operator="greaterThanOrEqual">
      <formula>-0.05</formula>
    </cfRule>
  </conditionalFormatting>
  <conditionalFormatting sqref="R27:R33">
    <cfRule type="cellIs" dxfId="12" priority="3" operator="greaterThanOrEqual">
      <formula>-0.05</formula>
    </cfRule>
  </conditionalFormatting>
  <conditionalFormatting sqref="R34">
    <cfRule type="cellIs" dxfId="11" priority="12" operator="greaterThan">
      <formula>0</formula>
    </cfRule>
  </conditionalFormatting>
  <conditionalFormatting sqref="U34">
    <cfRule type="cellIs" dxfId="10" priority="11" operator="greaterThan">
      <formula>0</formula>
    </cfRule>
  </conditionalFormatting>
  <conditionalFormatting sqref="V6:V21">
    <cfRule type="cellIs" dxfId="9" priority="2" operator="greaterThan">
      <formula>0</formula>
    </cfRule>
  </conditionalFormatting>
  <conditionalFormatting sqref="V27:V33">
    <cfRule type="cellIs" dxfId="8" priority="1" operator="greaterThan">
      <formula>0</formula>
    </cfRule>
  </conditionalFormatting>
  <conditionalFormatting sqref="W6:W21 U22:X22">
    <cfRule type="cellIs" dxfId="7" priority="18" operator="greaterThan">
      <formula>0</formula>
    </cfRule>
  </conditionalFormatting>
  <conditionalFormatting sqref="W27:W33">
    <cfRule type="cellIs" dxfId="6" priority="16" operator="greaterThan">
      <formula>0</formula>
    </cfRule>
  </conditionalFormatting>
  <conditionalFormatting sqref="W34:X34">
    <cfRule type="cellIs" dxfId="5" priority="10" operator="greaterThan">
      <formula>0</formula>
    </cfRule>
  </conditionalFormatting>
  <conditionalFormatting sqref="X6:X21">
    <cfRule type="cellIs" dxfId="4" priority="17" operator="equal">
      <formula>"raise"</formula>
    </cfRule>
  </conditionalFormatting>
  <conditionalFormatting sqref="X27:X33">
    <cfRule type="cellIs" dxfId="3" priority="7" operator="equal">
      <formula>"raise"</formula>
    </cfRule>
    <cfRule type="cellIs" dxfId="2" priority="8" operator="lessThan">
      <formula>0</formula>
    </cfRule>
  </conditionalFormatting>
  <conditionalFormatting sqref="X6:Y21 M6:M22 Y22">
    <cfRule type="cellIs" dxfId="1" priority="20" operator="lessThan">
      <formula>0</formula>
    </cfRule>
  </conditionalFormatting>
  <conditionalFormatting sqref="Y27:Y34">
    <cfRule type="cellIs" dxfId="0" priority="14" operator="lessThan">
      <formula>0</formula>
    </cfRule>
  </conditionalFormatting>
  <pageMargins left="0.25" right="0.25" top="0.75" bottom="0.75" header="0.3" footer="0.3"/>
  <pageSetup scale="32" orientation="landscape" r:id="rId1"/>
  <colBreaks count="1" manualBreakCount="1">
    <brk id="3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DASH</vt:lpstr>
      <vt:lpstr>DASH!Print_Area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 Safdar</dc:creator>
  <cp:lastModifiedBy>Zahid Safdar</cp:lastModifiedBy>
  <dcterms:created xsi:type="dcterms:W3CDTF">2026-02-11T23:10:42Z</dcterms:created>
  <dcterms:modified xsi:type="dcterms:W3CDTF">2026-02-11T23:36:32Z</dcterms:modified>
</cp:coreProperties>
</file>